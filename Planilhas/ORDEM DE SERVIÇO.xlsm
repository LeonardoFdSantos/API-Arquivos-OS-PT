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A:\Medicina Ocupacional\PROCEDIMENTOS DE SEGURANÇA E SAÚDE\O.S. SOLAR\"/>
    </mc:Choice>
  </mc:AlternateContent>
  <xr:revisionPtr revIDLastSave="0" documentId="13_ncr:1_{6F578194-DD99-448F-B19D-66C841EDAF8C}" xr6:coauthVersionLast="45" xr6:coauthVersionMax="45" xr10:uidLastSave="{00000000-0000-0000-0000-000000000000}"/>
  <bookViews>
    <workbookView xWindow="20370" yWindow="-120" windowWidth="20640" windowHeight="11160" xr2:uid="{00000000-000D-0000-FFFF-FFFF00000000}"/>
  </bookViews>
  <sheets>
    <sheet name="Lista Clientes" sheetId="3" r:id="rId1"/>
    <sheet name="Lista OS" sheetId="4" r:id="rId2"/>
    <sheet name="MODELO PT" sheetId="1" r:id="rId3"/>
    <sheet name="MODELO O.S.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0" i="3" l="1"/>
  <c r="H4" i="1"/>
  <c r="G2" i="2"/>
  <c r="D4" i="2"/>
  <c r="H5" i="1"/>
  <c r="D4" i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</calcChain>
</file>

<file path=xl/sharedStrings.xml><?xml version="1.0" encoding="utf-8"?>
<sst xmlns="http://schemas.openxmlformats.org/spreadsheetml/2006/main" count="647" uniqueCount="595">
  <si>
    <t>Permissão de Trabalho em Altura</t>
  </si>
  <si>
    <t>Atividade executada acima de 2,00 metros</t>
  </si>
  <si>
    <t>Uso em conjunto com o Procedimento de Segurança e Saúde no Trabalho em Altura – NR 35</t>
  </si>
  <si>
    <t>Data:</t>
  </si>
  <si>
    <t xml:space="preserve">Horário de início: </t>
  </si>
  <si>
    <t>Horário de término:</t>
  </si>
  <si>
    <t>Quantidade de trabalhadores:</t>
  </si>
  <si>
    <t>TIPO DE TRABALHO EM ALTURA</t>
  </si>
  <si>
    <r>
      <t xml:space="preserve">Descrição da Atividade: </t>
    </r>
    <r>
      <rPr>
        <sz val="9"/>
        <color rgb="FF000000"/>
        <rFont val="Arial"/>
        <family val="2"/>
      </rPr>
      <t>Instalação de placas fotovoltaicas e inversor</t>
    </r>
  </si>
  <si>
    <t>TRABALHADORES AUTORIZADOS</t>
  </si>
  <si>
    <t>Nome</t>
  </si>
  <si>
    <t>RESPONSÁVEL PELA AUTORIZAÇÃO</t>
  </si>
  <si>
    <t>Cargo/Função</t>
  </si>
  <si>
    <t>ANALISE PRELIMINARES PARA TRABALHO EM ALTURA</t>
  </si>
  <si>
    <t>SIM</t>
  </si>
  <si>
    <t>NÃO</t>
  </si>
  <si>
    <t>NA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</si>
  <si>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Quadro de comando elétrico está bloqueado, sinalizado e sem riscos de choque elétrico?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</si>
  <si>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Todos os empregados autorizados estão treinados e com Atestado de Saúde Ocupacional - ASO vigente?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</si>
  <si>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Os EPIs, acessórios e sistemas de ancoragem foram inspecionados antes da realização da atividade?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</si>
  <si>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Todos os empregados estão uniformizados e utilizando os Equipamentos de Proteção Individuais – EPI específicos, necessários e adequados ao tipo da atividade (cinto de segurança tipo paraquedista com trava quedas, capacete com jugular, talabarte em Y, talabarte de posicionamento, mosquetão, etc.)?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</si>
  <si>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Existem pontos de ancoragem e ou linha de vida para o cinto de segurança e trava queda individual?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</si>
  <si>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Foi verificado as amarrações, nós e ancoragem dos equipamentos?</t>
    </r>
  </si>
  <si>
    <r>
      <t>7.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 área foi devidamente sinalizada e isolada?</t>
    </r>
  </si>
  <si>
    <r>
      <t>8.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Existem medidas que evitem quedas de objetos, ferramentas ou outros materiais?</t>
    </r>
  </si>
  <si>
    <r>
      <t>9.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Atividades em telhado, o mesmo está seco? Condições climáticas favorecem o trabalho?</t>
    </r>
  </si>
  <si>
    <r>
      <t>10.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Existem condições mínimas de segurança para trabalho em telhado e cobertura?</t>
    </r>
  </si>
  <si>
    <r>
      <t>11.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O telhado frágil? Há necessidade de plataforma para movimentação sobre o mesmo?</t>
    </r>
  </si>
  <si>
    <r>
      <t>12.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As escadas a serem utilizadas estão fixas, travadas, piso nivelado e em condição de uso?</t>
    </r>
  </si>
  <si>
    <r>
      <t>13.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As escadas estão livres das redes e equipamentos elétricos desprotegidos ou sem isolamento?</t>
    </r>
  </si>
  <si>
    <r>
      <t>14.</t>
    </r>
    <r>
      <rPr>
        <sz val="7"/>
        <color theme="1"/>
        <rFont val="Times New Roman"/>
        <family val="1"/>
      </rPr>
      <t xml:space="preserve">  </t>
    </r>
    <r>
      <rPr>
        <sz val="9"/>
        <color theme="1"/>
        <rFont val="Arial"/>
        <family val="2"/>
      </rPr>
      <t>No telhado, cobertura ou laje existe passagem de condutor elétrico? Se SIM está protegido e identificado?</t>
    </r>
  </si>
  <si>
    <r>
      <t>15.</t>
    </r>
    <r>
      <rPr>
        <sz val="7"/>
        <color theme="1"/>
        <rFont val="Times New Roman"/>
        <family val="1"/>
      </rPr>
      <t xml:space="preserve">  </t>
    </r>
    <r>
      <rPr>
        <sz val="9"/>
        <color theme="1"/>
        <rFont val="Arial"/>
        <family val="2"/>
      </rPr>
      <t>Existem condições mínimas de segurança para trabalho em plataforma aérea?</t>
    </r>
  </si>
  <si>
    <r>
      <t>16.</t>
    </r>
    <r>
      <rPr>
        <sz val="7"/>
        <color theme="1"/>
        <rFont val="Times New Roman"/>
        <family val="1"/>
      </rPr>
      <t xml:space="preserve">  </t>
    </r>
    <r>
      <rPr>
        <sz val="9"/>
        <color theme="1"/>
        <rFont val="Arial"/>
        <family val="2"/>
      </rPr>
      <t>Equipe está treinada, em condições de saúde para realizar a atividade?</t>
    </r>
  </si>
  <si>
    <r>
      <t>17.</t>
    </r>
    <r>
      <rPr>
        <sz val="7"/>
        <color theme="1"/>
        <rFont val="Times New Roman"/>
        <family val="1"/>
      </rPr>
      <t xml:space="preserve">  </t>
    </r>
    <r>
      <rPr>
        <sz val="9"/>
        <color theme="1"/>
        <rFont val="Arial"/>
        <family val="2"/>
      </rPr>
      <t>Existe meios de acionamento em caso de emergência no trabalho em altura?</t>
    </r>
  </si>
  <si>
    <r>
      <t>18.</t>
    </r>
    <r>
      <rPr>
        <sz val="7"/>
        <color theme="1"/>
        <rFont val="Times New Roman"/>
        <family val="1"/>
      </rPr>
      <t xml:space="preserve">  </t>
    </r>
    <r>
      <rPr>
        <sz val="9"/>
        <color theme="1"/>
        <rFont val="Arial"/>
        <family val="2"/>
      </rPr>
      <t xml:space="preserve"> Em caso de emergência, os materiais de primeiros socorros estão disponíveis?</t>
    </r>
  </si>
  <si>
    <t>TELEFONES DE EMERGÊNCIA</t>
  </si>
  <si>
    <r>
      <t xml:space="preserve">Corpo de Bombeiro: </t>
    </r>
    <r>
      <rPr>
        <b/>
        <sz val="9"/>
        <color theme="1"/>
        <rFont val="Arial"/>
        <family val="2"/>
      </rPr>
      <t>193</t>
    </r>
  </si>
  <si>
    <r>
      <t xml:space="preserve">SAMU: </t>
    </r>
    <r>
      <rPr>
        <b/>
        <sz val="9"/>
        <color theme="1"/>
        <rFont val="Arial"/>
        <family val="2"/>
      </rPr>
      <t>192</t>
    </r>
  </si>
  <si>
    <t>□ Escada □ Telhado/Cobertura □ Lage □ Plataforma Aérea □ Acesso por corda □ Outros________________</t>
  </si>
  <si>
    <t>RECOMENDAÇÕES E OBSERVAÇÕES</t>
  </si>
  <si>
    <r>
      <t xml:space="preserve">-    </t>
    </r>
    <r>
      <rPr>
        <sz val="7"/>
        <color theme="1"/>
        <rFont val="Arial"/>
        <family val="2"/>
      </rPr>
      <t>Em caso de intempéries (chuva, ventos fortes, nevoeiro, raios etc.), iluminação insuficiente e outros riscos que comprometam a segurança dos trabalhadores e da atividade, a mesma deve ser interrompida.</t>
    </r>
  </si>
  <si>
    <r>
      <t xml:space="preserve">-    </t>
    </r>
    <r>
      <rPr>
        <sz val="7"/>
        <color theme="1"/>
        <rFont val="Arial"/>
        <family val="2"/>
      </rPr>
      <t>Realizar o bloqueio e sinalização do quadro de comando elétrico ou quando haver risco de choque elétrico.</t>
    </r>
  </si>
  <si>
    <r>
      <t xml:space="preserve">-    </t>
    </r>
    <r>
      <rPr>
        <sz val="7"/>
        <color theme="1"/>
        <rFont val="Arial"/>
        <family val="2"/>
      </rPr>
      <t>Atentar para a necessidade de utilização de sistema de comunicação para atividades em grandes alturas.</t>
    </r>
  </si>
  <si>
    <r>
      <t xml:space="preserve">-    </t>
    </r>
    <r>
      <rPr>
        <sz val="7"/>
        <color theme="1"/>
        <rFont val="Arial"/>
        <family val="2"/>
      </rPr>
      <t>Se alguma ação preliminar não tiver sido realizada (resposta "NÃO"), a atividade em altura não deverá ocorrer.</t>
    </r>
  </si>
  <si>
    <r>
      <t xml:space="preserve">-    </t>
    </r>
    <r>
      <rPr>
        <sz val="7"/>
        <color theme="1"/>
        <rFont val="Arial"/>
        <family val="2"/>
      </rPr>
      <t>Quando forem detectadas alterações comportamentais relacionadas a situações de trabalho e socioeconômicas dos empregados que possam impactar a segurança da atividade, NÂO REALIZAR A ATIVIDADE e registrar o ocorrido.</t>
    </r>
  </si>
  <si>
    <r>
      <t>-</t>
    </r>
    <r>
      <rPr>
        <sz val="7"/>
        <color theme="1"/>
        <rFont val="Times New Roman"/>
        <family val="1"/>
      </rPr>
      <t xml:space="preserve">    </t>
    </r>
    <r>
      <rPr>
        <sz val="7"/>
        <color theme="1"/>
        <rFont val="Arial"/>
        <family val="2"/>
      </rPr>
      <t>Observações complementares devem ser escritas no verso do Formulário.</t>
    </r>
  </si>
  <si>
    <t>Assinatura de Entrada do Responsável pela Autorização:</t>
  </si>
  <si>
    <t>Assinatura de Encerramento do Responsável pela Autorização:</t>
  </si>
  <si>
    <t>Local/Endereço:</t>
  </si>
  <si>
    <t>Nº do Contrato:</t>
  </si>
  <si>
    <r>
      <t>N</t>
    </r>
    <r>
      <rPr>
        <b/>
        <vertAlign val="superscript"/>
        <sz val="9"/>
        <color theme="1"/>
        <rFont val="Arial"/>
        <family val="2"/>
      </rPr>
      <t>o</t>
    </r>
    <r>
      <rPr>
        <b/>
        <sz val="9"/>
        <color theme="1"/>
        <rFont val="Arial"/>
        <family val="2"/>
      </rPr>
      <t xml:space="preserve"> O.S.:</t>
    </r>
  </si>
  <si>
    <t>ORDEM DE SERVIÇO – NR 01</t>
  </si>
  <si>
    <r>
      <t xml:space="preserve"> Setor: </t>
    </r>
    <r>
      <rPr>
        <sz val="9"/>
        <color rgb="FF000000"/>
        <rFont val="Arial"/>
        <family val="2"/>
      </rPr>
      <t>Operacional</t>
    </r>
  </si>
  <si>
    <r>
      <t xml:space="preserve"> Atividade: </t>
    </r>
    <r>
      <rPr>
        <sz val="9"/>
        <color rgb="FF000000"/>
        <rFont val="Arial"/>
        <family val="2"/>
      </rPr>
      <t>Instalação de placas fotovoltaicas e inversor</t>
    </r>
  </si>
  <si>
    <t>ATIVIDADES DESENVOLVIDAS</t>
  </si>
  <si>
    <t>- Conferência dos equipamentos e dispositivos a serem instalados conforme projeto;</t>
  </si>
  <si>
    <t xml:space="preserve">- Deslocamento até a empresa cliente; </t>
  </si>
  <si>
    <t>- Preparação, instalação das placas, materiais e estruturas de sistema de geração de energia fotovoltaica;</t>
  </si>
  <si>
    <t>- Cumprir e observar normas técnicas, administrativas, meio-ambiente e de segurança;</t>
  </si>
  <si>
    <t>- Executar outras atribuições semelhantes, conforme necessidade;</t>
  </si>
  <si>
    <r>
      <t xml:space="preserve">          </t>
    </r>
    <r>
      <rPr>
        <b/>
        <sz val="9"/>
        <color rgb="FF000000"/>
        <rFont val="Arial"/>
        <family val="2"/>
      </rPr>
      <t>RISCO DA OPERAÇÃO</t>
    </r>
  </si>
  <si>
    <t>- Cortes e fraturas no levantamento, transporte, manuseio e instalação de materiais;</t>
  </si>
  <si>
    <t>- Acidente de trânsito, durante o deslocamento para realização das atividades;</t>
  </si>
  <si>
    <t>- Uso de máquinas e equipamentos manuais;</t>
  </si>
  <si>
    <t>- Choque elétrico na operação, manutenção de redes integrantes do sistema elétrico com possibilidade de energização;</t>
  </si>
  <si>
    <t>- Iluminação insuficiente / excessiva;</t>
  </si>
  <si>
    <t>- Levantamento manual de peso e queda de objetos.</t>
  </si>
  <si>
    <r>
      <t xml:space="preserve">          </t>
    </r>
    <r>
      <rPr>
        <b/>
        <sz val="9"/>
        <color rgb="FF000000"/>
        <rFont val="Arial"/>
        <family val="2"/>
      </rPr>
      <t>EPI’S - USO OBRIGATÓRIO</t>
    </r>
  </si>
  <si>
    <t>- Kit cinto de segurança com trava-quedas (Atividades acima de 2,00m) e Capacete com jugular;</t>
  </si>
  <si>
    <t>- Botina com biqueira de PVC para eletricidade;</t>
  </si>
  <si>
    <t>- Óculos de Segurança;</t>
  </si>
  <si>
    <t>- Luva de PU;</t>
  </si>
  <si>
    <t>- Jaleco e calça antichamas;</t>
  </si>
  <si>
    <t>- Protetor solar (Atividades exposto ao sol);</t>
  </si>
  <si>
    <t>MEDIDAS PREVENTIVAS</t>
  </si>
  <si>
    <t>- Verificar condição de posicionamento das placas e materiais que fora armazenado, antes de retirá-lo;</t>
  </si>
  <si>
    <t>- Manter a limpeza e organização no local de trabalho e onde for desenvolvido as atividades;</t>
  </si>
  <si>
    <t>- Seguir as normas regulamentadoras NR 06, NR 10 e NR 35 conforme treinamento recebido;</t>
  </si>
  <si>
    <t>- Descer e subir escadas ou ambiente semelhante com atenção e sem pressa;</t>
  </si>
  <si>
    <t>- Realizar a sinalização e bloqueio dos quadros de comando elétrico energizados, conforme analisado na APR;</t>
  </si>
  <si>
    <t>- Não levantar nem transportar peso acima da sua capacidade física, se precisar peça ajuda;</t>
  </si>
  <si>
    <t>- Utilizar os EPI's recomendados para a atividade;</t>
  </si>
  <si>
    <t>- Não execute nenhum tipo de tarefa ou atividade para a qual não foi treinado, autorizado e não está habilitado;</t>
  </si>
  <si>
    <t>- Participar dos treinamentos de segurança oferecido pela empresa;</t>
  </si>
  <si>
    <r>
      <t xml:space="preserve">          </t>
    </r>
    <r>
      <rPr>
        <b/>
        <sz val="9"/>
        <color rgb="FF000000"/>
        <rFont val="Arial"/>
        <family val="2"/>
      </rPr>
      <t>PROCEDIMENTO EM CASO DE ACIDENTE DE TRABALHO</t>
    </r>
  </si>
  <si>
    <t>- Acionar SAMU 192 e ou Bombeiros 193 quando constatada situação de emergência;</t>
  </si>
  <si>
    <t>- Comunicar imediatamente a ocorrência de acidente do trabalho, de trajeto ou surgir qualquer tipo de doença profissional;</t>
  </si>
  <si>
    <t>- Prestar informações para o preenchimento da ficha de investigação de acidente.</t>
  </si>
  <si>
    <r>
      <t xml:space="preserve">          </t>
    </r>
    <r>
      <rPr>
        <b/>
        <sz val="9"/>
        <color rgb="FF000000"/>
        <rFont val="Arial"/>
        <family val="2"/>
      </rPr>
      <t>TERMO DE RESPONSÁBILIDADE</t>
    </r>
  </si>
  <si>
    <r>
      <t>Recebi treinamento de segurança e saúde no trabalho, bem com todos os equipamentos de proteção individual para neutralizar a ação dos agentes nocivos presentes no meu ambiente de trabalho. Serei cobrado, pelo não cumprimento ao disposto nesta ordem de serviço, estando sujeito às penas de lei, que vão desde a advertência e suspensão até demissão por justa causa, d</t>
    </r>
    <r>
      <rPr>
        <i/>
        <sz val="8"/>
        <color rgb="FF000000"/>
        <rFont val="Arial"/>
        <family val="2"/>
      </rPr>
      <t>e acordo com o Artigo 158, Parágrafo Único, da lei 6.514/77 e da Norma Regulamentadora NR 01.</t>
    </r>
  </si>
  <si>
    <t>Cliente</t>
  </si>
  <si>
    <t>Cliente:</t>
  </si>
  <si>
    <t xml:space="preserve"> N° Projeto: </t>
  </si>
  <si>
    <r>
      <t xml:space="preserve"> Ordem de Serviço n°:</t>
    </r>
    <r>
      <rPr>
        <sz val="9"/>
        <color rgb="FF000000"/>
        <rFont val="Arial"/>
        <family val="2"/>
      </rPr>
      <t xml:space="preserve"> </t>
    </r>
  </si>
  <si>
    <t>INSTALADORES ENVOLVIDOS</t>
  </si>
  <si>
    <t xml:space="preserve"> Nome:</t>
  </si>
  <si>
    <t xml:space="preserve"> Assinatura:</t>
  </si>
  <si>
    <r>
      <t xml:space="preserve">          </t>
    </r>
    <r>
      <rPr>
        <b/>
        <sz val="9"/>
        <color rgb="FF000000"/>
        <rFont val="Arial"/>
        <family val="2"/>
      </rPr>
      <t>RESPONSÁVEL PELA ELABORAÇÃO</t>
    </r>
  </si>
  <si>
    <t>Data</t>
  </si>
  <si>
    <t>Emitido por:</t>
  </si>
  <si>
    <t>Assinatura:</t>
  </si>
  <si>
    <t>__/__/____</t>
  </si>
  <si>
    <t>nº</t>
  </si>
  <si>
    <t>Marlon Colovini</t>
  </si>
  <si>
    <t>Mara Barichello</t>
  </si>
  <si>
    <t>Jandira Dutra</t>
  </si>
  <si>
    <t>Luiz Fernando Kruger</t>
  </si>
  <si>
    <t>Paulo Bohn</t>
  </si>
  <si>
    <t>Analia (Clodoaldo Entre-Ijuis)</t>
  </si>
  <si>
    <t>Biroh</t>
  </si>
  <si>
    <t>Gelson Posser</t>
  </si>
  <si>
    <t>Supermercado Caryone</t>
  </si>
  <si>
    <t>Ernani Minetto</t>
  </si>
  <si>
    <t>Jair Moscon</t>
  </si>
  <si>
    <t>Fabio Milke</t>
  </si>
  <si>
    <t>Piaia</t>
  </si>
  <si>
    <t>Osmar Veronese</t>
  </si>
  <si>
    <t>José Luiz Moraes</t>
  </si>
  <si>
    <t>Supermercado Cripy</t>
  </si>
  <si>
    <t>Gláucio Lipski (Giruá)</t>
  </si>
  <si>
    <t>Contri</t>
  </si>
  <si>
    <t>Cleci Rubi</t>
  </si>
  <si>
    <t>Betine Rost</t>
  </si>
  <si>
    <t>Robinson Fetter</t>
  </si>
  <si>
    <t>Fabio De Moura</t>
  </si>
  <si>
    <t>Rochele Santos Moraes</t>
  </si>
  <si>
    <t>Auto Posto Kairã</t>
  </si>
  <si>
    <t>Erno Schiefelbain</t>
  </si>
  <si>
    <t>José Paulo Backes</t>
  </si>
  <si>
    <t>Gelso Tofolo</t>
  </si>
  <si>
    <t>Diamantino</t>
  </si>
  <si>
    <t>Mercado Bueno</t>
  </si>
  <si>
    <t>Daniela Donadel Massalai</t>
  </si>
  <si>
    <t>Comercio De Moto Peças Irmãos Guarani Ltda</t>
  </si>
  <si>
    <t>Mauricio Luis Lunardi</t>
  </si>
  <si>
    <t>Rosa Maria Restle Radunz</t>
  </si>
  <si>
    <t>Ivo Amaral De Oliveira</t>
  </si>
  <si>
    <t>Silvio Robert Lemos Avila</t>
  </si>
  <si>
    <t>Eldo Rost</t>
  </si>
  <si>
    <t>Padaria Avenida</t>
  </si>
  <si>
    <t>Cristiano Anshau</t>
  </si>
  <si>
    <t>Luciana Claudete Meirelles Correa</t>
  </si>
  <si>
    <t>Marcio Jose Siqueira</t>
  </si>
  <si>
    <t>Marcos Rogerio Kessler</t>
  </si>
  <si>
    <t>Aabb</t>
  </si>
  <si>
    <t>Wanda Burkard</t>
  </si>
  <si>
    <t>Silvio Robert Lemos Avila Me</t>
  </si>
  <si>
    <t>Carmelo</t>
  </si>
  <si>
    <t>Antonio Dal Forno</t>
  </si>
  <si>
    <t>Marisane Paulus</t>
  </si>
  <si>
    <t>Segatto Ceretta Ltda</t>
  </si>
  <si>
    <t>Apae</t>
  </si>
  <si>
    <t>Cássio Burin</t>
  </si>
  <si>
    <t>Patrick Kristoschek Da Silva</t>
  </si>
  <si>
    <t>Silvio Robert Ávila - (Valmir)</t>
  </si>
  <si>
    <t>Zederson Jose Della Flora</t>
  </si>
  <si>
    <t>Carlos Walmir Larsão Rolim</t>
  </si>
  <si>
    <t>Danieli Missio</t>
  </si>
  <si>
    <t>José Vasconcellos</t>
  </si>
  <si>
    <t>Linho Lev Alimentos</t>
  </si>
  <si>
    <t>Ernani Czapla</t>
  </si>
  <si>
    <t>Valesca Da Luz</t>
  </si>
  <si>
    <t>Olavo Mildner</t>
  </si>
  <si>
    <t>Dilnei Rohled</t>
  </si>
  <si>
    <t>Shaiana Signorini</t>
  </si>
  <si>
    <t>Fonse Atacado</t>
  </si>
  <si>
    <t>Comercial De Alimentos</t>
  </si>
  <si>
    <t>Ivone Kasburg Serralheria</t>
  </si>
  <si>
    <t>Mercado Ceretta</t>
  </si>
  <si>
    <t>Antonio Carlos Dos Santos Pereira</t>
  </si>
  <si>
    <t>Volnei Lemos Avila - Me</t>
  </si>
  <si>
    <t>Silvana Meneghini</t>
  </si>
  <si>
    <t>Eficaz Engenharia Ltda</t>
  </si>
  <si>
    <t>Tania Regina Schmaltz</t>
  </si>
  <si>
    <t>Camila Ceretta Segatto</t>
  </si>
  <si>
    <t>Vagner Ribas Dos Santos</t>
  </si>
  <si>
    <t>Claudio Alfredo Konrat</t>
  </si>
  <si>
    <t>Paulo Cesar Da Rosa (Residencial)</t>
  </si>
  <si>
    <t>Paulo Cesar Da Rosa (Comercial)</t>
  </si>
  <si>
    <t>Geselda Schirmer (Fabiano)</t>
  </si>
  <si>
    <t>Edson Seibt</t>
  </si>
  <si>
    <t>Deisi Raquel Volz</t>
  </si>
  <si>
    <t>Partricia Seibt</t>
  </si>
  <si>
    <t>Carlos Alberto Catellan</t>
  </si>
  <si>
    <t>Emerson Fonseca Rodrigues</t>
  </si>
  <si>
    <t>Fernanda Schubert Bidel</t>
  </si>
  <si>
    <t>Paulo Da Silva Lima</t>
  </si>
  <si>
    <t>Mario Rossi</t>
  </si>
  <si>
    <t>Jose Nowicki Mustafa (Residência)</t>
  </si>
  <si>
    <t>Jose Nowicki Mustafa (Consultório)</t>
  </si>
  <si>
    <t>Itamar Ferreira Walter</t>
  </si>
  <si>
    <t>João Nelson De Oliveira</t>
  </si>
  <si>
    <t>Renice da Silva</t>
  </si>
  <si>
    <t>Cesar João Bianchini</t>
  </si>
  <si>
    <t>Dalton Pereira Martins</t>
  </si>
  <si>
    <t>Fruteira e Floricultura Japonesa</t>
  </si>
  <si>
    <t>Hamilton Cassel</t>
  </si>
  <si>
    <t>Marcos Welfer</t>
  </si>
  <si>
    <t>Organiza Contábil</t>
  </si>
  <si>
    <t>Tiago Stoll</t>
  </si>
  <si>
    <t>Maria Geneci Thielke</t>
  </si>
  <si>
    <t>Super Lar</t>
  </si>
  <si>
    <t>Marivone Vianna Friedrich</t>
  </si>
  <si>
    <t>Angelo Abramowicz</t>
  </si>
  <si>
    <t>Leandro Nunes Mayer</t>
  </si>
  <si>
    <t>Vilson Streck</t>
  </si>
  <si>
    <t>Carlos Kruger</t>
  </si>
  <si>
    <t>Felipe Heinzmann</t>
  </si>
  <si>
    <t>Lauren Berger Severo</t>
  </si>
  <si>
    <t>João Pedro Borges Oliveira</t>
  </si>
  <si>
    <t>Jose Americo Dutra Garcia</t>
  </si>
  <si>
    <t>Fabricio Ricardo Dal Forno</t>
  </si>
  <si>
    <t>Cleusa Cristine Arance Peixoto</t>
  </si>
  <si>
    <t>Cristiane Do Nascimento Lancheria</t>
  </si>
  <si>
    <t>Elisandro Medeiros Guedes</t>
  </si>
  <si>
    <t>Jair Jose Copetti</t>
  </si>
  <si>
    <t>Elétrica Veiga LTDA</t>
  </si>
  <si>
    <t>João Adão Fucks Da Veiga</t>
  </si>
  <si>
    <t xml:space="preserve">Paula Caroline Veiga De Lima </t>
  </si>
  <si>
    <t>Renato Suliman</t>
  </si>
  <si>
    <t>Luis Alberto Voese</t>
  </si>
  <si>
    <t>Eliane Cassol Riewe</t>
  </si>
  <si>
    <t>Marcelino Moretto</t>
  </si>
  <si>
    <t>Anselmo Jonas Saft</t>
  </si>
  <si>
    <t>Hotel E Churrascaria Barichello</t>
  </si>
  <si>
    <t>Nilo Barichello E Cia Ltda</t>
  </si>
  <si>
    <t>Marco Aurélio Barichello</t>
  </si>
  <si>
    <t>Endereço</t>
  </si>
  <si>
    <t>Telefone:</t>
  </si>
  <si>
    <t>N° OS</t>
  </si>
  <si>
    <t>Av. Alfredo Leopoldo Fett, N° 2000, Bairro Centro Sul - Santo Ângelo/RS.</t>
  </si>
  <si>
    <t>(55) 9.9613-9377</t>
  </si>
  <si>
    <t>(55) 9.9631-3574</t>
  </si>
  <si>
    <t>(55) 9.9632-3390</t>
  </si>
  <si>
    <t>(55) 9.9702-0603</t>
  </si>
  <si>
    <t>(55) 9.9686-6228</t>
  </si>
  <si>
    <t>(55) 9.9923-1037</t>
  </si>
  <si>
    <t>Rua São Luiz Gonzaga, AP 1, Nº 1619, Bairro Pippi - Santo Ângelo/RS.</t>
  </si>
  <si>
    <t>Rua Quinze de Novembro, Nº 1226, Bairro Centro - Santo Ângelo/RS.</t>
  </si>
  <si>
    <t>Rua Missões, Nº 705, Bairro Rosenthal - Santo Ângelo/RS.</t>
  </si>
  <si>
    <t>Rua Primeiro de Maio, N° 400, Bairro Neves - Catuípe/RS.</t>
  </si>
  <si>
    <t>Est. RS 344, N° 14801, Bairro RS-344 - Santo Ângelo/RS.</t>
  </si>
  <si>
    <t>(55) 3312-4550</t>
  </si>
  <si>
    <t>(55) 3312-5818</t>
  </si>
  <si>
    <t>Avenida Getúlio Vargas, AP 2, Nº 1458, Bairro Centro - Santo Ângelo/RS.</t>
  </si>
  <si>
    <t>Avenida Getúlio Vargas, Nº 1031, Bairro Centro - Santo Ângelo/RS.</t>
  </si>
  <si>
    <t>Avenida Getúlio Vargas, Nº 1458, Bairro Centro - Santo Ângelo/RS.</t>
  </si>
  <si>
    <t>Rua José Bonifácio, N° 500, Bairro Menges - Santo Ângelo/RS.</t>
  </si>
  <si>
    <t>(55) 9.9942-7709</t>
  </si>
  <si>
    <t>Rua dos Pinheiros 733, Bairro Haller - Santo Ângelo/RS.</t>
  </si>
  <si>
    <t>(55) 9.9601-6321</t>
  </si>
  <si>
    <t>Rua Luciano Contri, n°1459 - Eugênio de Castro/RS.</t>
  </si>
  <si>
    <t>(55) 9.8171-3363</t>
  </si>
  <si>
    <t>Rua Nicarágua nº 144 - Santo Ângelo/RS.</t>
  </si>
  <si>
    <t>(55) 9.9113-4814</t>
  </si>
  <si>
    <t>AVENIDA RIO GRANDE DO SUL , N° 3024 - Santo Ângelo/RS.</t>
  </si>
  <si>
    <t>(55) 3314-7075 / (55) 99645-6395</t>
  </si>
  <si>
    <t>Email</t>
  </si>
  <si>
    <t>silvioavilar@hotmail.com</t>
  </si>
  <si>
    <t>marloncolovini@hotmail.com</t>
  </si>
  <si>
    <t>mararebasi@gmail.com</t>
  </si>
  <si>
    <t>jandiratdutra@gmail.com</t>
  </si>
  <si>
    <t>luisfkruger@gmail.com</t>
  </si>
  <si>
    <t>N° Projeto</t>
  </si>
  <si>
    <t>Rua Nelson Kaercher, N° 2200 - Santo Ângelo/RS</t>
  </si>
  <si>
    <t>(55) 3314-7019 / (55) 9.9172-9903</t>
  </si>
  <si>
    <t>contricontrucoes@yahoo.com</t>
  </si>
  <si>
    <t>(55) 3313-3072 / (55) 9 9989-9649</t>
  </si>
  <si>
    <t>paulooscarbohn43@gmail.com</t>
  </si>
  <si>
    <t>Av Brasil, 1144, AP 2 - Santo Ângelo/RS</t>
  </si>
  <si>
    <t>R Integração, 552 - Entre-Ijuis/RS</t>
  </si>
  <si>
    <t>(55) 99602-3590</t>
  </si>
  <si>
    <t>clodoaldo_calegaro@banrisul.com.br</t>
  </si>
  <si>
    <t>Rua 1º de Maio, n° 532, Bairro Centro - Vitória das Missões/RS</t>
  </si>
  <si>
    <t>(55)9.8418-9945</t>
  </si>
  <si>
    <t>Rua Marquês de Tamandaré, n° 600, Bairro Dido - Santo Ângelo/RS</t>
  </si>
  <si>
    <t>(55) 9.9973-9658</t>
  </si>
  <si>
    <t>joseluizmorais1@gmail.com</t>
  </si>
  <si>
    <t>Rua Lino Emídio R. do Amaral, 136 - Ijuí/RS</t>
  </si>
  <si>
    <t>(55) 9.9681-7962</t>
  </si>
  <si>
    <t>pa.seibt@hotmail.com</t>
  </si>
  <si>
    <t>Rua Conde de Porto Alegre, n° 554 - Santo Ângelo/RS</t>
  </si>
  <si>
    <t>55) 9.9963-0933</t>
  </si>
  <si>
    <t>tiagostoll@crediplanalto.com.br</t>
  </si>
  <si>
    <t>Rua Cel Damásio Gomes de Castro, nº 59 - Santo Ângelo/RS</t>
  </si>
  <si>
    <t>(55) 9 9980 1713</t>
  </si>
  <si>
    <t>gelson@crediplanalto.com.br</t>
  </si>
  <si>
    <t>Rua Carlos Gomes, n° 116 - Santo Ângelo/RS</t>
  </si>
  <si>
    <t>(55) 3312-4826</t>
  </si>
  <si>
    <t>superceretta@hotmail.com</t>
  </si>
  <si>
    <t>Est. RS 344 KM 97, nº 9510 - Santo Ângelo/RS</t>
  </si>
  <si>
    <t>(55) 3312-9285 / (55) 9.9996-2387</t>
  </si>
  <si>
    <t>piaiamoveis@hotmail.com</t>
  </si>
  <si>
    <t>Rua Augusto Guarita, n° 215 – Bairro Próximo P Sesi - Santo Ângelo/RS</t>
  </si>
  <si>
    <t>(55) 3313-2537 / (55) 9 9631-2450</t>
  </si>
  <si>
    <t>santoangelo@aabb.com.br</t>
  </si>
  <si>
    <t>(55) 3329-1587 / (55) 9.9907-1805</t>
  </si>
  <si>
    <t>RUA JOÃO OPTIZ, N° 195 - ENTRE IJUIS/RS</t>
  </si>
  <si>
    <t>vitafisio2012@hotmail.com</t>
  </si>
  <si>
    <t>Rua Pedro Eduardo Voguel, n° 112 - Santo Ângelo/RS</t>
  </si>
  <si>
    <t>(55) 3314-7019 / (55) 9.9994.2492</t>
  </si>
  <si>
    <t>caryone2011@hotmail.com</t>
  </si>
  <si>
    <t>(55) 3314-0234 / (55) 99916-5781</t>
  </si>
  <si>
    <t>valdecir@biroh.com.br</t>
  </si>
  <si>
    <t>Rua Daltro Filho, 2413 - Santo Ângelo/RS</t>
  </si>
  <si>
    <t>Rua Marquês do Herval, n° 905, Bairro Centro - Santo Ângelo/RS</t>
  </si>
  <si>
    <t>(55) 9.9961-2305</t>
  </si>
  <si>
    <t>esminetto@terra.com.br</t>
  </si>
  <si>
    <t>RUA DUQUE DE CAXIAS, N° 931 - Santo Ângelo/RS</t>
  </si>
  <si>
    <t>(55) 3313-1942 / (55) 99640 7723</t>
  </si>
  <si>
    <t>gicelinunes@hotmail.com</t>
  </si>
  <si>
    <t>financeiroveiga@terra.com.br</t>
  </si>
  <si>
    <t>Rua Bráulio Mário Ribas, n° 60 - Entre-Ijuís/RS</t>
  </si>
  <si>
    <t>(55) 9 9644-5720</t>
  </si>
  <si>
    <t>lambari61@hotmail.com</t>
  </si>
  <si>
    <t>AVENIDA BRASIL, N°7 - SANTO ÂNGELO - RS</t>
  </si>
  <si>
    <t>(55) 9 9674-5900</t>
  </si>
  <si>
    <t>padaria-avenida@bol.com.br</t>
  </si>
  <si>
    <t>Rua São Xavier, s/n° - Tupanciretã/RS</t>
  </si>
  <si>
    <t>Esquina Bohn, s/n°, Bairro Esquina Bohn - Quinze de Novembro/RS</t>
  </si>
  <si>
    <t>Rua do Carmo, n° 994, Bairro Jardim das Palmeiras - Santo Ângelo/RS</t>
  </si>
  <si>
    <t>(55) 9.9975-4048</t>
  </si>
  <si>
    <t>jairmoscon@gmail.com</t>
  </si>
  <si>
    <t>Rua Sepé Tiaraju, n° 376, Bairro Menges - Santo Ângelo/RS</t>
  </si>
  <si>
    <t>(55) 3312 4959</t>
  </si>
  <si>
    <t>familke@via-rs.net</t>
  </si>
  <si>
    <t>Rua Carlos Gomes, n° 209 - Santo Ângelo/RS</t>
  </si>
  <si>
    <t>(55) 3313-3990 / (55) 9.9983-9489</t>
  </si>
  <si>
    <t>gelsotofolo@gmail.com</t>
  </si>
  <si>
    <t>RUA CENAIR MAICA, Nº 203 - SANTO ANGELO - RS</t>
  </si>
  <si>
    <t>(55) 9 9604-1977</t>
  </si>
  <si>
    <t>marcos.kessler@yahoo.com.br</t>
  </si>
  <si>
    <t>Travessa dos Crisântemos n° 299, Bairro Menezes - Santo Ângelo/RS</t>
  </si>
  <si>
    <t>(55) 9.8122-0221</t>
  </si>
  <si>
    <t>be_rost@hotmail.com</t>
  </si>
  <si>
    <t>tecnodieselsa@hotmail.com</t>
  </si>
  <si>
    <t>Rua Sete de Setembro, n° 205 - Santo Ângelo/RS</t>
  </si>
  <si>
    <t>darizanuso@gmail.com</t>
  </si>
  <si>
    <t>RUA DOS EMIGRANTES, N° 249 - Santo Ângelo/RS</t>
  </si>
  <si>
    <t>(55) 3312-3075 / (55) 9.8116-0700</t>
  </si>
  <si>
    <t>Rua Marechal Floriano, n° 758, Bairro Centro - Santo Ângelo/RS</t>
  </si>
  <si>
    <t>(55) 99115-3460</t>
  </si>
  <si>
    <t>osmarveronese@gmail.com</t>
  </si>
  <si>
    <t>Rua João Henrique Licht, n° 2050  - Santo Ângelo/RS</t>
  </si>
  <si>
    <t>(55) 9.8412-6788</t>
  </si>
  <si>
    <t>leandronmayer@hotmail.com</t>
  </si>
  <si>
    <t>Rua Bento Gonçalves, n° 133 - Giruá/RS</t>
  </si>
  <si>
    <t>(55) 99606-8797</t>
  </si>
  <si>
    <t>glaulipski@hotmail.com</t>
  </si>
  <si>
    <t>(55) 9.8406-3110</t>
  </si>
  <si>
    <t>joao.nelson@yahoo.com.br</t>
  </si>
  <si>
    <t>Rua Quinze de Novembro, n° 2990, Bairro Centro - Santo Ângelo/RS</t>
  </si>
  <si>
    <t>(55) 9.9972-7007</t>
  </si>
  <si>
    <t>clemensrubi@gmail.com</t>
  </si>
  <si>
    <t>Rua Paraná, n° 893 - Santo Ângelo/RS</t>
  </si>
  <si>
    <t>Rua Miguel Couto, nº 324 - Santo Ângelo/RS</t>
  </si>
  <si>
    <t>(55) 3312-1526</t>
  </si>
  <si>
    <t>eletronicavasconcellos@gmail.com</t>
  </si>
  <si>
    <t>(55) 9687-9217</t>
  </si>
  <si>
    <t>robinsonfetter@yahoo.com.br</t>
  </si>
  <si>
    <t>Rua Marechal Deodoro, n° 387, AP 401, Bairro Centro - Santo Ângelo/RS</t>
  </si>
  <si>
    <t>RUA HONDURAS, 500 - Santo Ângelo/RS</t>
  </si>
  <si>
    <t>(55) 9.9985-6757</t>
  </si>
  <si>
    <t>fabiomoura@fema.com.br</t>
  </si>
  <si>
    <t>(55) 9.9943-3941</t>
  </si>
  <si>
    <t>evandro.massalai@bol.com.br</t>
  </si>
  <si>
    <t>RUA DECIO MARTIN DA COSTA, N° 53 - Santo Ângelo/RS</t>
  </si>
  <si>
    <t>RUA SÃO NICOLAU, 362 - Santo Ângelo/RS</t>
  </si>
  <si>
    <t>(55) 3312-6653 / (55) 99902-2261</t>
  </si>
  <si>
    <t>mercadobueno@yahoo.com.br</t>
  </si>
  <si>
    <t>Prl Marechal Floriano, n°326 - Santo Ângelo/RS</t>
  </si>
  <si>
    <t>(55) 9 9967-7025</t>
  </si>
  <si>
    <t>dilneiro1@gmail.com</t>
  </si>
  <si>
    <t>mauricio.lunardi@bol.com.br</t>
  </si>
  <si>
    <t>(55) 9.9961 2647</t>
  </si>
  <si>
    <t>RUA BARÃO DO TRIUNFO, N° 370 - Santo Ângelo/RS</t>
  </si>
  <si>
    <t>(55) 9 9966-4564</t>
  </si>
  <si>
    <t>sul.frutas@bol.com.br</t>
  </si>
  <si>
    <t>Avenida Rio Grande do Sul, n° 2946 - Santo Ângelo/RS</t>
  </si>
  <si>
    <t>Travessa Assiolim S Machado, n° 971 - Santo Ângelo/RS</t>
  </si>
  <si>
    <t>(55) 9.9681-9989</t>
  </si>
  <si>
    <t>EST BARCA DO GABRIEL, 1430 - Santo Ângelo/RS</t>
  </si>
  <si>
    <t>ireneu.valmor@bol.com.br</t>
  </si>
  <si>
    <t>RUA TEREZA VERZERI, 407 - TRES DE MAIO - RS</t>
  </si>
  <si>
    <t>(55)3535-1952 / (55) 99958-0052</t>
  </si>
  <si>
    <t>esaestruturas@bol.com.br</t>
  </si>
  <si>
    <t>RUA CLODIO BECK, N° 579 - ENTRE-IJUÍS - RS</t>
  </si>
  <si>
    <t>(55) 9.9907-1862</t>
  </si>
  <si>
    <t>patrickmissioneiro@hotmail.com</t>
  </si>
  <si>
    <t>RUA IPANEMA, N° 93 - SANTO ANGELO - RS</t>
  </si>
  <si>
    <t>(55) 9.9919-0853</t>
  </si>
  <si>
    <t>ivoamaral.oliveira1234@gmail.com</t>
  </si>
  <si>
    <t>(55) 9 96456395</t>
  </si>
  <si>
    <t>Rua São Paulo, n° 602 - Santo Ângelo/RS</t>
  </si>
  <si>
    <t>RUA ROBERTO FREY N° 831 - Santo Ângelo/RS</t>
  </si>
  <si>
    <t>AV GETULIO VARGAS, N° 2031 - Santo Ângelo/RS</t>
  </si>
  <si>
    <t>(55) 3314-2673/ (55) 98117-1710</t>
  </si>
  <si>
    <t>indians@indians.com.br</t>
  </si>
  <si>
    <t>rdprodutos@yahoo.com.br</t>
  </si>
  <si>
    <t>apaeinfo@apaesantoangelo.com.br</t>
  </si>
  <si>
    <t>(55) 3312-3003</t>
  </si>
  <si>
    <t>RUA VINTE E DOIS DE MARÇO, N° 689 - Santo Ângelo/RS</t>
  </si>
  <si>
    <t>vanderleisimon@yahoo.com.br</t>
  </si>
  <si>
    <t>(55) 3312-6046/ (55) 3313-2725</t>
  </si>
  <si>
    <t>Rua Antônio Manoel, nº 515, Sala 01 - Santo Ângelo/RS</t>
  </si>
  <si>
    <t>Rua João Henrique Licht, nº 1045 - Santo Ângelo/RS</t>
  </si>
  <si>
    <t>(55) 9 9625-1190</t>
  </si>
  <si>
    <t>acccastilho@hotmail.com</t>
  </si>
  <si>
    <t>wandaburkard@gmail.com</t>
  </si>
  <si>
    <t>(55) 99975-9234</t>
  </si>
  <si>
    <t>TRAVESSA RAUL PILLA, N° 104, AP 01 - GIRUÁ/RS</t>
  </si>
  <si>
    <t>rubenstesche@yahoo.com.br</t>
  </si>
  <si>
    <t>(55) 9.9902-6462</t>
  </si>
  <si>
    <t>Rua do Carmo, N° 973 - Santo Ângelo/RS</t>
  </si>
  <si>
    <t>RUA QUINZE DE NOVEMBRO, N° 1349, AP 701 - Santo Ângelo/RS</t>
  </si>
  <si>
    <t>(55) 9.8114-9874</t>
  </si>
  <si>
    <t>advogado.medeiros@hotmail.com</t>
  </si>
  <si>
    <t>RUA INTEGRAÇÃO, N° 1506 - ENTRE-IJUÍS - RS</t>
  </si>
  <si>
    <t>(55) 3329-1132</t>
  </si>
  <si>
    <t>marcos@entreijuis.com</t>
  </si>
  <si>
    <t>Rua Tiradentes nº 302 - Santo Ângelo/RS.</t>
  </si>
  <si>
    <t>marciomedsm@yahoo.com.br</t>
  </si>
  <si>
    <t>(55) 9.9690-7788</t>
  </si>
  <si>
    <t>Rua Guatemala, n° 40 - SANTO ANGELO - RS</t>
  </si>
  <si>
    <t>(55) 9.9994-3836</t>
  </si>
  <si>
    <t>okruger@terra.com.br</t>
  </si>
  <si>
    <t>Rua Ernesto Strapazon, n° 150, Bairro Morada do Sol - Ijuí/RS</t>
  </si>
  <si>
    <t>Avenida Rio Grande do Sul, n°3196 - Santo Ângelo/RS</t>
  </si>
  <si>
    <t>(55) 9.9934.4237</t>
  </si>
  <si>
    <t>rogeriosouzacb@yahoo.com.br</t>
  </si>
  <si>
    <t>cakonrat@hotmail.com</t>
  </si>
  <si>
    <t>Travessa dos Crisantemos, n° 508 - Santo Ângelo/RS</t>
  </si>
  <si>
    <t>(55) 9 9961-1917</t>
  </si>
  <si>
    <t>Rua José Boonifácio, nº 400 - Santo Ângelo/RS</t>
  </si>
  <si>
    <t>(55) 3312-1704</t>
  </si>
  <si>
    <t>betyfilipin@yahoo.com.br</t>
  </si>
  <si>
    <t>fabriciordalforno@hotmail.com</t>
  </si>
  <si>
    <t>Rua Padre Anchieta, nº 90 - Santo Ângelo/RS</t>
  </si>
  <si>
    <t>(55)9.8139-2431</t>
  </si>
  <si>
    <t>rsjuliors@gmail.com</t>
  </si>
  <si>
    <t>(55) 9 8130-1312</t>
  </si>
  <si>
    <t>Rua José Bonifácio, n°26 - Santo Ângelo/RS</t>
  </si>
  <si>
    <t>Rincão dos Pires S/N - Jóia/RS.</t>
  </si>
  <si>
    <t>Avenida Rio Grande do Sul, n° 2675 - Santo Ângelo/RS</t>
  </si>
  <si>
    <t>(55) 9 9634-9691</t>
  </si>
  <si>
    <t>supermercado_amigao@hotmail.com</t>
  </si>
  <si>
    <t>Rua Bento Gonçalves, n° 909 - Giruá/RS</t>
  </si>
  <si>
    <t>(55) 9 9950-2082</t>
  </si>
  <si>
    <t>ernaniczapla@terra.com.br</t>
  </si>
  <si>
    <t>Rua Sepé Tiaraju, n°894 - Santo Ângelo/RS</t>
  </si>
  <si>
    <t>(55) 9.9149-2831</t>
  </si>
  <si>
    <t>cassiarolim@hotmail.com</t>
  </si>
  <si>
    <t>danimissio@terra.com.br</t>
  </si>
  <si>
    <t>Rua Santo Antônio, n° 193 - Santo Ângelo/RS</t>
  </si>
  <si>
    <t>(55) 9.9979-8080</t>
  </si>
  <si>
    <t>Rua Débora Scholl, n° 2260 - Santo Ângelo/RS</t>
  </si>
  <si>
    <t>(55) 9.9605-6383</t>
  </si>
  <si>
    <t>marcos@linholev.com</t>
  </si>
  <si>
    <t>Rua Marechal Floriano, n° 1120 - Santo Ângelo/RS</t>
  </si>
  <si>
    <t>mcalabria@terra.com.br</t>
  </si>
  <si>
    <t>(55) 9.9909-0023</t>
  </si>
  <si>
    <t>Rua Matheus P Beck, n° 572 - Santo Ângelo/RS</t>
  </si>
  <si>
    <t>(55) 9.8121-8821</t>
  </si>
  <si>
    <t>valescatche@gmail.com</t>
  </si>
  <si>
    <t>leandrosignorini11@gmail.com</t>
  </si>
  <si>
    <t>(55) 9.9612-1201</t>
  </si>
  <si>
    <t>Rua São Paulo, n° 478 - Santo Ângelo/RS</t>
  </si>
  <si>
    <t>RUA INTEGRAÇÃO, N° 1422 - ENTRE-IJUÍS - RS</t>
  </si>
  <si>
    <t>Rua da Cascata, n° 1115 - Santo Ângelo/RS</t>
  </si>
  <si>
    <t>(55) 3313-3758</t>
  </si>
  <si>
    <t>marinesdutra@hotmail.com</t>
  </si>
  <si>
    <t>Rua Gaspar Kraemer, n° 98 - Santo Ângelo/RS</t>
  </si>
  <si>
    <t>(55) 9.9942-2919</t>
  </si>
  <si>
    <t>marlon@energens.com.br</t>
  </si>
  <si>
    <t>Rua Pedro Casarotto, n° 1405 - Santo Ângelo/RS</t>
  </si>
  <si>
    <t>(55) 9.9634-7212</t>
  </si>
  <si>
    <t>capa946@gmail.com</t>
  </si>
  <si>
    <t>Rua Francisco S Renz, n° 197 - Giruá/RS</t>
  </si>
  <si>
    <t>(55) 9.9962-3622</t>
  </si>
  <si>
    <t>paulobidel@hotmail.com</t>
  </si>
  <si>
    <t>Rua Décio Martins da Costa, n° 1389 - Santo Ângelo/RS</t>
  </si>
  <si>
    <t>(55) 9.9949-0806</t>
  </si>
  <si>
    <t>taniareschmaltz@yahoo.com.br</t>
  </si>
  <si>
    <t>Rua Juca Raimundo, n° 360 - Santo Ângelo/RS</t>
  </si>
  <si>
    <t>(55) 9.9967-0594</t>
  </si>
  <si>
    <t>silcfranca@bol.com.br</t>
  </si>
  <si>
    <t>Rua Argentina, n° 69 - Santo Ângelo/RS</t>
  </si>
  <si>
    <t>(55) 9.8116-6161</t>
  </si>
  <si>
    <t>vendas.santoangelo@topflex.net</t>
  </si>
  <si>
    <t>(55) 9.8431-9467</t>
  </si>
  <si>
    <t>geselda@bol.com.br</t>
  </si>
  <si>
    <t>Estrada RS 344, nº 14811 - Santo Ângelo/RS</t>
  </si>
  <si>
    <t>RUA DOM FELICIANO, N° 947 - CANOAS - RS</t>
  </si>
  <si>
    <t>eficaz@eficaz.eng.br</t>
  </si>
  <si>
    <t>(51) 3342-5650</t>
  </si>
  <si>
    <t>Avenida Apolinário Dornelles de Moraes, n° 496 - Santo Ângelo/RS</t>
  </si>
  <si>
    <t>(55) 9.9602-8414</t>
  </si>
  <si>
    <t>neivagsr@gmail.com</t>
  </si>
  <si>
    <t>Rua Quinze de Novembro, n° 1410, AP 201 - Santo Ângelo/RS</t>
  </si>
  <si>
    <t>(55) 9.9625-8569</t>
  </si>
  <si>
    <t>laurensevero@hotmail.com</t>
  </si>
  <si>
    <t>Rua Quinze de Novembro, n° 1410, SALA 1 - Santo Ângelo/RS</t>
  </si>
  <si>
    <t>felipeheinzmann@hotmail.com</t>
  </si>
  <si>
    <t>Rua Paraná, n°862 - Santo Ângelo/RS</t>
  </si>
  <si>
    <t>(55) 9.8147-6435</t>
  </si>
  <si>
    <t>Rua Missões, n° 404 - Santo Ângelo/RS</t>
  </si>
  <si>
    <t>(55) 9.9923-4540</t>
  </si>
  <si>
    <t>limap4200@gmail.com</t>
  </si>
  <si>
    <t>Rua Manoel T. de Souza, n° 799 - Santo Ângelo/RS</t>
  </si>
  <si>
    <t>(55) 9.8136-0922</t>
  </si>
  <si>
    <t>hamilton.cassel@gmail.com</t>
  </si>
  <si>
    <t>Rua Guatemala, n° 47 - Santo Ângelo/RS</t>
  </si>
  <si>
    <t>(55) 9.9962-9625</t>
  </si>
  <si>
    <t>contato@gastrobedi.com.br</t>
  </si>
  <si>
    <t>Rua Sete de Setembro, n°642 - Santo Ângelo/RS</t>
  </si>
  <si>
    <t>Rua São Cristovão, n°508 - Santo Ângelo/RS</t>
  </si>
  <si>
    <t>(55) 9.9171-3004</t>
  </si>
  <si>
    <t>itamarfwalter@gmail.com</t>
  </si>
  <si>
    <t>(55) 9.9981-3130</t>
  </si>
  <si>
    <t>rossi0957@hotmail.com</t>
  </si>
  <si>
    <t>Rua Clodio Beck, n° 162 - ENTRE-IJUÍS - RS</t>
  </si>
  <si>
    <t>RUA TRÊS DE OUTUBRO, N° 64 - Santo Ângelo/RS</t>
  </si>
  <si>
    <t>(55) 3312-1145</t>
  </si>
  <si>
    <t>floriculturajaponesa@hotmail.com</t>
  </si>
  <si>
    <t>(55) 9.9665-0946</t>
  </si>
  <si>
    <t>anelise.cm@hotmail.com</t>
  </si>
  <si>
    <t>Rua Quinze de Novembro, nº 3195 - Santo Ângelo/RS</t>
  </si>
  <si>
    <t>(55) 9.9978-1077</t>
  </si>
  <si>
    <t>mara@agrobianchini.com.br</t>
  </si>
  <si>
    <t>Rua do Carmo, nº 1000 - Santo Ângelo/RS</t>
  </si>
  <si>
    <t>marcoswelfer@gmail.com</t>
  </si>
  <si>
    <t>(55) 9.9977-6333</t>
  </si>
  <si>
    <t>Rua Antunes Ribas, n° 250 - Santo Ângelo/RS</t>
  </si>
  <si>
    <t>schmitzzgean@icloud.com</t>
  </si>
  <si>
    <t>Avenida Sagrada Família, 2845 - Santo Ângelo/RS</t>
  </si>
  <si>
    <t>(55) 9.9661-2300</t>
  </si>
  <si>
    <t>mariagenecit@yahoo.com.br</t>
  </si>
  <si>
    <t>(55) 9.8151-1365</t>
  </si>
  <si>
    <t>Rua Daltro Filho, n° 1949 - Santo Ângelo/RS</t>
  </si>
  <si>
    <t>(55) 9.9185-1658</t>
  </si>
  <si>
    <t>angeloabramowicz@gmail.com</t>
  </si>
  <si>
    <t>(55) 9.9939-9465</t>
  </si>
  <si>
    <t>betofrie@bol.com.br</t>
  </si>
  <si>
    <t>Rua PE Manoel de Nobrega, n° 111, AP 301 - Santo Ângelo/RS</t>
  </si>
  <si>
    <t>Rua PE Manoel de Nobrega, n° 111, AP 401 - Santo Ângelo/RS</t>
  </si>
  <si>
    <t>Rua São Nicolau, n° 202 - Santo Ângelo/RS</t>
  </si>
  <si>
    <t>(55) 9.9971-3353</t>
  </si>
  <si>
    <t>mercadolb4@gmail.com</t>
  </si>
  <si>
    <t>Rua Cel Damásio Gomes de Castro CA 1, n° 853 - Santo Ângelo/RS</t>
  </si>
  <si>
    <t>(55) 9.8454-2166</t>
  </si>
  <si>
    <t>andrea.trans@hotmail.com</t>
  </si>
  <si>
    <t>(55) 9.9650-4747</t>
  </si>
  <si>
    <t>mariadefatimasp1958@gmail.com</t>
  </si>
  <si>
    <t>Rua Antunes Ribas, n° 2003 - Santo Ângelo/RS</t>
  </si>
  <si>
    <t>(55)9.9137-5338</t>
  </si>
  <si>
    <t>jad.garcia@hotmail.com</t>
  </si>
  <si>
    <t>Rua Quinze de Novembro, N° 4056 - Santo Ângelo/RS</t>
  </si>
  <si>
    <t>(55) 9.8139-2431</t>
  </si>
  <si>
    <t>cristina_gamarra@sicredi.com.br</t>
  </si>
  <si>
    <t>Rua Barreiro, Nº 810 - Bossoroca/RS</t>
  </si>
  <si>
    <t>(55) 9.9132-2281</t>
  </si>
  <si>
    <t>(55)9.8175-3735</t>
  </si>
  <si>
    <t>hotelbarichello@hotmail.com</t>
  </si>
  <si>
    <t>Serra de Cima, S/N - Entre-Ijuís/RS</t>
  </si>
  <si>
    <t>Av. Borges do Canto, 1555 - São Miguel das Missões/RS</t>
  </si>
  <si>
    <t>São João das Missões - São Miguel das Missões/RS</t>
  </si>
  <si>
    <t>(55)9.8425-3717</t>
  </si>
  <si>
    <t>Rua Antunes Ribas, n° 3862, AP 2</t>
  </si>
  <si>
    <t>(55) 9.9983-7301</t>
  </si>
  <si>
    <t>jaircopetti@hotmail.com</t>
  </si>
  <si>
    <t>criis_@hotmail.com</t>
  </si>
  <si>
    <t>Travessa João Gomercindo, 200 - Entre-Ijuís/RS</t>
  </si>
  <si>
    <t>(55) 9.8406-7644</t>
  </si>
  <si>
    <t>elisandroguedes@yahoo.com.br</t>
  </si>
  <si>
    <t>dieissonsuliman@gmail.com</t>
  </si>
  <si>
    <t>luisvoese@hotmail.com</t>
  </si>
  <si>
    <t>riewe.ari@gmail.com</t>
  </si>
  <si>
    <t>pedrasmoretto@yahoo.com.br</t>
  </si>
  <si>
    <t>kethymess@yahoo.com.br</t>
  </si>
  <si>
    <t>Avenida Borges do Canto, 1567 - São Miguel das Missões/RS</t>
  </si>
  <si>
    <t>lojabarichello@hotmail.com</t>
  </si>
  <si>
    <t>(55) 9.8451-1633</t>
  </si>
  <si>
    <t>(55) 9.9638-3097</t>
  </si>
  <si>
    <t>Roberto Donato</t>
  </si>
  <si>
    <t>Karling &amp; Karling LTDA</t>
  </si>
  <si>
    <t>Lucia Regina Ourique Oliveira</t>
  </si>
  <si>
    <t xml:space="preserve">Sitio Arqueológico </t>
  </si>
  <si>
    <t>DATA</t>
  </si>
  <si>
    <r>
      <t xml:space="preserve">Atividade: </t>
    </r>
    <r>
      <rPr>
        <sz val="10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□ Instalação □ Manutenção □ Limpeza □ Retirada de equipamento </t>
    </r>
  </si>
  <si>
    <t>Fone:</t>
  </si>
  <si>
    <t>Rua Coronel Damásio Gomes de Castro, n° 381 - Santo Ângelo/RS.</t>
  </si>
  <si>
    <t>Marcela Spohr Luft</t>
  </si>
  <si>
    <t>Tiago Lorenço Arruda Ferigolo</t>
  </si>
  <si>
    <t>Rua Mal. Castelo Branco, Nº 1529 - Roque Gonzales/RS</t>
  </si>
  <si>
    <t>marcela_luft@sicredi.com.br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</si>
</sst>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_-&quot;R$&quot;\ * #,##0.00_-;\-&quot;R$&quot;\ * #,##0.00_-;_-&quot;R$&quot;\ * &quot;-&quot;??_-;_-@_-"/>
    <numFmt numFmtId="167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6"/>
      <color rgb="FF000000"/>
      <name val="Arial"/>
      <family val="2"/>
    </font>
    <font>
      <b/>
      <sz val="11"/>
      <color theme="1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vertAlign val="superscript"/>
      <sz val="9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sz val="8"/>
      <color theme="1"/>
      <name val="Arial"/>
      <family val="2"/>
    </font>
    <font>
      <sz val="6"/>
      <color theme="1"/>
      <name val="Arial"/>
      <family val="2"/>
    </font>
    <font>
      <sz val="7"/>
      <color theme="1"/>
      <name val="Times New Roman"/>
      <family val="1"/>
    </font>
    <font>
      <sz val="7"/>
      <color theme="1"/>
      <name val="Arial"/>
      <family val="2"/>
    </font>
    <font>
      <sz val="8"/>
      <color theme="1"/>
      <name val="Times New Roman"/>
      <family val="1"/>
    </font>
    <font>
      <sz val="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Arial"/>
      <family val="2"/>
    </font>
    <font>
      <i/>
      <sz val="8"/>
      <color theme="1"/>
      <name val="Arial"/>
      <family val="2"/>
    </font>
    <font>
      <i/>
      <sz val="8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7"/>
      <color rgb="FF000000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66" fontId="29" fillId="0" borderId="0" applyFon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 vertical="center"/>
    </xf>
    <xf numFmtId="0" fontId="8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justify" vertical="center" wrapText="1"/>
    </xf>
    <xf numFmtId="0" fontId="13" fillId="0" borderId="12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justify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vertical="center" wrapText="1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Fill="1" applyBorder="1"/>
    <xf numFmtId="0" fontId="24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23" fillId="0" borderId="0" xfId="0" applyFont="1"/>
    <xf numFmtId="14" fontId="0" fillId="0" borderId="0" xfId="0" applyNumberFormat="1"/>
    <xf numFmtId="0" fontId="24" fillId="0" borderId="0" xfId="0" applyFont="1" applyFill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12" fillId="0" borderId="19" xfId="0" applyFont="1" applyBorder="1" applyAlignment="1">
      <alignment horizontal="left" vertical="top" wrapText="1"/>
    </xf>
    <xf numFmtId="0" fontId="12" fillId="0" borderId="20" xfId="0" applyFont="1" applyBorder="1" applyAlignment="1">
      <alignment horizontal="left" vertical="top" wrapText="1"/>
    </xf>
    <xf numFmtId="0" fontId="12" fillId="0" borderId="18" xfId="0" applyFont="1" applyBorder="1" applyAlignment="1">
      <alignment horizontal="left" vertical="top" wrapText="1"/>
    </xf>
    <xf numFmtId="0" fontId="15" fillId="0" borderId="16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2" xfId="0" applyFont="1" applyBorder="1" applyAlignment="1">
      <alignment horizontal="left" vertical="center" wrapText="1"/>
    </xf>
    <xf numFmtId="0" fontId="9" fillId="0" borderId="18" xfId="0" applyFont="1" applyBorder="1" applyAlignment="1">
      <alignment horizontal="left" vertical="center" wrapText="1"/>
    </xf>
    <xf numFmtId="0" fontId="9" fillId="0" borderId="1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top" wrapText="1"/>
    </xf>
    <xf numFmtId="0" fontId="8" fillId="0" borderId="25" xfId="0" applyFont="1" applyBorder="1" applyAlignment="1">
      <alignment horizontal="center" vertical="top" wrapText="1"/>
    </xf>
    <xf numFmtId="0" fontId="8" fillId="0" borderId="26" xfId="0" applyFont="1" applyBorder="1" applyAlignment="1">
      <alignment horizontal="center" vertical="top" wrapText="1"/>
    </xf>
    <xf numFmtId="0" fontId="8" fillId="0" borderId="27" xfId="0" applyFont="1" applyBorder="1" applyAlignment="1">
      <alignment horizontal="center" vertical="top" wrapText="1"/>
    </xf>
    <xf numFmtId="0" fontId="8" fillId="0" borderId="16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8" fillId="0" borderId="18" xfId="0" applyFont="1" applyBorder="1" applyAlignment="1">
      <alignment horizontal="center" vertical="top" wrapText="1"/>
    </xf>
    <xf numFmtId="0" fontId="8" fillId="0" borderId="19" xfId="0" applyFont="1" applyBorder="1" applyAlignment="1">
      <alignment horizontal="center" vertical="top" wrapText="1"/>
    </xf>
    <xf numFmtId="0" fontId="8" fillId="0" borderId="41" xfId="0" applyFont="1" applyBorder="1" applyAlignment="1">
      <alignment horizontal="center" vertical="top" wrapText="1"/>
    </xf>
    <xf numFmtId="0" fontId="8" fillId="0" borderId="42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top" wrapText="1"/>
    </xf>
    <xf numFmtId="0" fontId="8" fillId="0" borderId="28" xfId="0" applyFont="1" applyBorder="1" applyAlignment="1">
      <alignment horizontal="center" vertical="top" wrapText="1"/>
    </xf>
    <xf numFmtId="0" fontId="8" fillId="0" borderId="9" xfId="0" applyFont="1" applyBorder="1" applyAlignment="1">
      <alignment horizontal="center" vertical="top" wrapText="1"/>
    </xf>
    <xf numFmtId="0" fontId="8" fillId="0" borderId="3" xfId="0" applyFont="1" applyBorder="1" applyAlignment="1">
      <alignment horizontal="center" vertical="top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7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7" fillId="0" borderId="18" xfId="0" applyFont="1" applyBorder="1" applyAlignment="1">
      <alignment horizontal="left" vertical="center" wrapText="1"/>
    </xf>
    <xf numFmtId="0" fontId="7" fillId="0" borderId="19" xfId="0" applyFont="1" applyBorder="1" applyAlignment="1">
      <alignment horizontal="left" vertical="center" wrapText="1"/>
    </xf>
    <xf numFmtId="0" fontId="7" fillId="0" borderId="20" xfId="0" applyFont="1" applyBorder="1" applyAlignment="1">
      <alignment horizontal="left" vertical="center" wrapText="1"/>
    </xf>
    <xf numFmtId="0" fontId="28" fillId="0" borderId="0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16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1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" xfId="0" applyFont="1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27" fillId="0" borderId="0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0" fillId="0" borderId="18" xfId="0" applyFont="1" applyBorder="1" applyAlignment="1">
      <alignment horizontal="left" vertical="center" wrapText="1"/>
    </xf>
    <xf numFmtId="0" fontId="20" fillId="0" borderId="19" xfId="0" applyFont="1" applyBorder="1" applyAlignment="1">
      <alignment horizontal="left" vertical="center" wrapText="1"/>
    </xf>
    <xf numFmtId="0" fontId="20" fillId="0" borderId="20" xfId="0" applyFont="1" applyBorder="1" applyAlignment="1">
      <alignment horizontal="left" vertical="center" wrapText="1"/>
    </xf>
    <xf numFmtId="0" fontId="20" fillId="0" borderId="16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20" fillId="0" borderId="15" xfId="0" applyFont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4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41" xfId="0" applyNumberFormat="1" applyBorder="1" applyAlignment="1">
      <alignment horizontal="center" vertical="center"/>
    </xf>
    <xf numFmtId="0" fontId="0" fillId="0" borderId="1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/>
    </xf>
    <xf numFmtId="0" fontId="0" fillId="0" borderId="21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center" vertical="center" wrapText="1"/>
    </xf>
    <xf numFmtId="0" fontId="0" fillId="0" borderId="41" xfId="0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</cellXfs>
  <cellStyles count="6">
    <cellStyle name="Moeda 2" xfId="1" xr:uid="{19DC5D76-36D5-4D9B-B126-74DA264A3C0C}"/>
    <cellStyle name="Moeda 3" xfId="3" xr:uid="{9B01A8C5-7528-4604-BAC2-7E91A61A2A3C}"/>
    <cellStyle name="Moeda 4" xfId="5" xr:uid="{8D742B50-3672-4746-AA1C-E8BB740C0D4C}"/>
    <cellStyle name="Moeda 5" xfId="2" xr:uid="{488656B6-E00B-4736-8205-6B18509E35B7}"/>
    <cellStyle name="Normal" xfId="0" builtinId="0"/>
    <cellStyle name="Vírgula 2" xfId="4" xr:uid="{D1693DC8-378A-47BC-88EA-9B2D61C5A69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9524</xdr:rowOff>
    </xdr:from>
    <xdr:to>
      <xdr:col>5</xdr:col>
      <xdr:colOff>514350</xdr:colOff>
      <xdr:row>4</xdr:row>
      <xdr:rowOff>152399</xdr:rowOff>
    </xdr:to>
    <xdr:sp macro="[0]!AbrirServiço" textlink="">
      <xdr:nvSpPr>
        <xdr:cNvPr id="2" name="Retângulo 1">
          <a:extLst>
            <a:ext uri="{FF2B5EF4-FFF2-40B4-BE49-F238E27FC236}">
              <a16:creationId xmlns:a16="http://schemas.microsoft.com/office/drawing/2014/main" id="{B8AE1A14-0B4E-4F66-B3E6-DD8B77A47C41}"/>
            </a:ext>
          </a:extLst>
        </xdr:cNvPr>
        <xdr:cNvSpPr/>
      </xdr:nvSpPr>
      <xdr:spPr>
        <a:xfrm>
          <a:off x="3609975" y="9524"/>
          <a:ext cx="1695450" cy="904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Gerar Nova O.S. e P.T.</a:t>
          </a:r>
        </a:p>
      </xdr:txBody>
    </xdr:sp>
    <xdr:clientData/>
  </xdr:twoCellAnchor>
  <xdr:twoCellAnchor>
    <xdr:from>
      <xdr:col>5</xdr:col>
      <xdr:colOff>600075</xdr:colOff>
      <xdr:row>0</xdr:row>
      <xdr:rowOff>19049</xdr:rowOff>
    </xdr:from>
    <xdr:to>
      <xdr:col>8</xdr:col>
      <xdr:colOff>57150</xdr:colOff>
      <xdr:row>4</xdr:row>
      <xdr:rowOff>47625</xdr:rowOff>
    </xdr:to>
    <xdr:sp macro="[0]!ExcluiPlan" textlink="">
      <xdr:nvSpPr>
        <xdr:cNvPr id="3" name="Retângulo 2">
          <a:extLst>
            <a:ext uri="{FF2B5EF4-FFF2-40B4-BE49-F238E27FC236}">
              <a16:creationId xmlns:a16="http://schemas.microsoft.com/office/drawing/2014/main" id="{B74408A9-F46C-4387-9F18-5FE703981126}"/>
            </a:ext>
          </a:extLst>
        </xdr:cNvPr>
        <xdr:cNvSpPr/>
      </xdr:nvSpPr>
      <xdr:spPr>
        <a:xfrm>
          <a:off x="5391150" y="19049"/>
          <a:ext cx="1285875" cy="790576"/>
        </a:xfrm>
        <a:prstGeom prst="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Finalizar</a:t>
          </a:r>
          <a:r>
            <a:rPr lang="pt-BR" sz="2000" baseline="0"/>
            <a:t> Impressão</a:t>
          </a:r>
          <a:endParaRPr lang="pt-BR" sz="2000"/>
        </a:p>
      </xdr:txBody>
    </xdr:sp>
    <xdr:clientData/>
  </xdr:twoCellAnchor>
  <xdr:twoCellAnchor>
    <xdr:from>
      <xdr:col>8</xdr:col>
      <xdr:colOff>161925</xdr:colOff>
      <xdr:row>0</xdr:row>
      <xdr:rowOff>28574</xdr:rowOff>
    </xdr:from>
    <xdr:to>
      <xdr:col>11</xdr:col>
      <xdr:colOff>247650</xdr:colOff>
      <xdr:row>4</xdr:row>
      <xdr:rowOff>57149</xdr:rowOff>
    </xdr:to>
    <xdr:sp macro="[0]!AbrirPesquisa" textlink="">
      <xdr:nvSpPr>
        <xdr:cNvPr id="4" name="Retângulo 3">
          <a:extLst>
            <a:ext uri="{FF2B5EF4-FFF2-40B4-BE49-F238E27FC236}">
              <a16:creationId xmlns:a16="http://schemas.microsoft.com/office/drawing/2014/main" id="{950FAE4B-16F1-43C0-BCFC-6B534F69BE28}"/>
            </a:ext>
          </a:extLst>
        </xdr:cNvPr>
        <xdr:cNvSpPr/>
      </xdr:nvSpPr>
      <xdr:spPr>
        <a:xfrm>
          <a:off x="6781800" y="28574"/>
          <a:ext cx="1914525" cy="7905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Pesquisa</a:t>
          </a:r>
          <a:r>
            <a:rPr lang="pt-BR" sz="2000" baseline="0"/>
            <a:t> O.S. e P.T. Antigas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85725</xdr:rowOff>
    </xdr:from>
    <xdr:to>
      <xdr:col>1</xdr:col>
      <xdr:colOff>542925</xdr:colOff>
      <xdr:row>2</xdr:row>
      <xdr:rowOff>180974</xdr:rowOff>
    </xdr:to>
    <xdr:pic>
      <xdr:nvPicPr>
        <xdr:cNvPr id="2" name="Imagem 24">
          <a:extLst>
            <a:ext uri="{FF2B5EF4-FFF2-40B4-BE49-F238E27FC236}">
              <a16:creationId xmlns:a16="http://schemas.microsoft.com/office/drawing/2014/main" id="{C0907603-E144-40D9-992F-4D5C88686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51" t="7980" r="7541" b="10191"/>
        <a:stretch>
          <a:fillRect/>
        </a:stretch>
      </xdr:blipFill>
      <xdr:spPr bwMode="auto">
        <a:xfrm>
          <a:off x="95251" y="85725"/>
          <a:ext cx="1104899" cy="542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EE61E3-41B5-4E5A-BD88-5EB51CDEB202}" name="ListaClientes" displayName="ListaClientes" ref="A1:G130" totalsRowShown="0" headerRowDxfId="11" dataDxfId="10" tableBorderDxfId="7">
  <autoFilter ref="A1:G130" xr:uid="{6DC7072F-130A-4756-8A9E-EAF0E4A07A83}"/>
  <tableColumns count="7">
    <tableColumn id="1" xr3:uid="{DA0DE469-A321-4089-A300-D2472873DF28}" name="nº" dataDxfId="6"/>
    <tableColumn id="2" xr3:uid="{648A23EF-B131-4755-8C13-FE6D3C96B352}" name="Cliente" dataDxfId="5"/>
    <tableColumn id="3" xr3:uid="{1C58F170-05E5-45D1-B9A7-6392A8FE2FD3}" name="N° Projeto" dataDxfId="4"/>
    <tableColumn id="4" xr3:uid="{DC402004-19D0-4B6E-A899-F9D5F2735B22}" name="N° OS" dataDxfId="3">
      <calculatedColumnFormula>IFERROR(VLOOKUP(ListaClientes[[#This Row],[Cliente]],Numeracao[[Cliente]:[N° OS]],2,FALSE),"")</calculatedColumnFormula>
    </tableColumn>
    <tableColumn id="5" xr3:uid="{D141D845-8CB4-46F2-A66A-78F053D05C37}" name="Endereço" dataDxfId="2"/>
    <tableColumn id="6" xr3:uid="{53B80484-2CC2-4A0D-99DF-D8EB51EC3844}" name="Telefone:" dataDxfId="1"/>
    <tableColumn id="7" xr3:uid="{A11B8487-9174-4ED7-AB4F-757356AB764C}" name="Email" dataDxfId="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6341D9-99B0-4BBC-9FD0-51A499BB5B9C}" name="Numeracao" displayName="Numeracao" ref="A1:C17" totalsRowShown="0" headerRowDxfId="9">
  <autoFilter ref="A1:C17" xr:uid="{6B299FA9-8251-4BB7-BC82-9806450A5838}"/>
  <tableColumns count="3">
    <tableColumn id="2" xr3:uid="{B65699BA-5C91-4BA2-9116-34AB9F9AE2BC}" name="Cliente"/>
    <tableColumn id="1" xr3:uid="{801E4D8D-39BC-4E2A-8B30-6B6B6127FAB0}" name="N° OS" dataDxfId="8"/>
    <tableColumn id="3" xr3:uid="{6963A369-1D9A-4F6C-985D-01F57ACE89ED}" name="DA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lon@energens.com.br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advogado.medeiros@hotmail.com" TargetMode="External"/><Relationship Id="rId1" Type="http://schemas.openxmlformats.org/officeDocument/2006/relationships/hyperlink" Target="mailto:darizanuso@gmail.com" TargetMode="External"/><Relationship Id="rId6" Type="http://schemas.openxmlformats.org/officeDocument/2006/relationships/hyperlink" Target="mailto:criis_@hotmail.com" TargetMode="External"/><Relationship Id="rId5" Type="http://schemas.openxmlformats.org/officeDocument/2006/relationships/hyperlink" Target="mailto:jad.garcia@hotmail.com" TargetMode="External"/><Relationship Id="rId4" Type="http://schemas.openxmlformats.org/officeDocument/2006/relationships/hyperlink" Target="mailto:taniareschmaltz@yahoo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70E11-3BB7-43EF-B1F0-D5C340CEEBEA}">
  <sheetPr codeName="Planilha1"/>
  <dimension ref="A1:G130"/>
  <sheetViews>
    <sheetView tabSelected="1" topLeftCell="A112" zoomScaleNormal="100" workbookViewId="0">
      <selection activeCell="A130" sqref="A129:A130"/>
    </sheetView>
  </sheetViews>
  <sheetFormatPr defaultRowHeight="15" x14ac:dyDescent="0.25"/>
  <cols>
    <col min="1" max="1" width="8.28515625" style="1" bestFit="1" customWidth="1"/>
    <col min="2" max="2" width="42.140625" style="1" bestFit="1" customWidth="1"/>
    <col min="3" max="3" width="14.7109375" style="1" bestFit="1" customWidth="1"/>
    <col min="4" max="4" width="10.5703125" style="1" bestFit="1" customWidth="1"/>
    <col min="5" max="5" width="74" bestFit="1" customWidth="1"/>
    <col min="6" max="6" width="32" bestFit="1" customWidth="1"/>
    <col min="7" max="7" width="38.7109375" bestFit="1" customWidth="1"/>
  </cols>
  <sheetData>
    <row r="1" spans="1:7" x14ac:dyDescent="0.25">
      <c r="A1" s="161" t="s">
        <v>102</v>
      </c>
      <c r="B1" s="161" t="s">
        <v>90</v>
      </c>
      <c r="C1" s="161" t="s">
        <v>263</v>
      </c>
      <c r="D1" s="161" t="s">
        <v>229</v>
      </c>
      <c r="E1" s="161" t="s">
        <v>227</v>
      </c>
      <c r="F1" s="161" t="s">
        <v>228</v>
      </c>
      <c r="G1" s="161" t="s">
        <v>257</v>
      </c>
    </row>
    <row r="2" spans="1:7" x14ac:dyDescent="0.25">
      <c r="A2" s="160">
        <v>1</v>
      </c>
      <c r="B2" s="16" t="s">
        <v>103</v>
      </c>
      <c r="C2" s="160">
        <v>130000</v>
      </c>
      <c r="D2" s="160" t="str">
        <f>IFERROR(VLOOKUP(ListaClientes[[#This Row],[Cliente]],Numeracao[[Cliente]:[N° OS]],2,FALSE),"")</f>
        <v/>
      </c>
      <c r="E2" s="15" t="s">
        <v>590</v>
      </c>
      <c r="F2" s="15" t="s">
        <v>248</v>
      </c>
      <c r="G2" s="15" t="s">
        <v>259</v>
      </c>
    </row>
    <row r="3" spans="1:7" x14ac:dyDescent="0.25">
      <c r="A3" s="160">
        <v>2</v>
      </c>
      <c r="B3" s="16" t="s">
        <v>104</v>
      </c>
      <c r="C3" s="160">
        <v>130003</v>
      </c>
      <c r="D3" s="160" t="str">
        <f>IFERROR(VLOOKUP(ListaClientes[[#This Row],[Cliente]],Numeracao[[Cliente]:[N° OS]],2,FALSE),"")</f>
        <v/>
      </c>
      <c r="E3" s="15" t="s">
        <v>249</v>
      </c>
      <c r="F3" s="15" t="s">
        <v>250</v>
      </c>
      <c r="G3" s="15" t="s">
        <v>260</v>
      </c>
    </row>
    <row r="4" spans="1:7" x14ac:dyDescent="0.25">
      <c r="A4" s="160">
        <v>3</v>
      </c>
      <c r="B4" s="16" t="s">
        <v>105</v>
      </c>
      <c r="C4" s="160">
        <v>130007</v>
      </c>
      <c r="D4" s="160" t="str">
        <f>IFERROR(VLOOKUP(ListaClientes[[#This Row],[Cliente]],Numeracao[[Cliente]:[N° OS]],2,FALSE),"")</f>
        <v/>
      </c>
      <c r="E4" s="15" t="s">
        <v>251</v>
      </c>
      <c r="F4" s="15" t="s">
        <v>252</v>
      </c>
      <c r="G4" s="15" t="s">
        <v>261</v>
      </c>
    </row>
    <row r="5" spans="1:7" x14ac:dyDescent="0.25">
      <c r="A5" s="160">
        <v>4</v>
      </c>
      <c r="B5" s="16" t="s">
        <v>106</v>
      </c>
      <c r="C5" s="160">
        <v>130018</v>
      </c>
      <c r="D5" s="160" t="str">
        <f>IFERROR(VLOOKUP(ListaClientes[[#This Row],[Cliente]],Numeracao[[Cliente]:[N° OS]],2,FALSE),"")</f>
        <v/>
      </c>
      <c r="E5" s="15" t="s">
        <v>253</v>
      </c>
      <c r="F5" s="15" t="s">
        <v>254</v>
      </c>
      <c r="G5" s="15" t="s">
        <v>262</v>
      </c>
    </row>
    <row r="6" spans="1:7" x14ac:dyDescent="0.25">
      <c r="A6" s="160">
        <v>5</v>
      </c>
      <c r="B6" s="16" t="s">
        <v>107</v>
      </c>
      <c r="C6" s="160">
        <v>130035</v>
      </c>
      <c r="D6" s="160" t="str">
        <f>IFERROR(VLOOKUP(ListaClientes[[#This Row],[Cliente]],Numeracao[[Cliente]:[N° OS]],2,FALSE),"")</f>
        <v/>
      </c>
      <c r="E6" s="15" t="s">
        <v>269</v>
      </c>
      <c r="F6" s="15" t="s">
        <v>267</v>
      </c>
      <c r="G6" s="15" t="s">
        <v>268</v>
      </c>
    </row>
    <row r="7" spans="1:7" x14ac:dyDescent="0.25">
      <c r="A7" s="160">
        <v>6</v>
      </c>
      <c r="B7" s="16" t="s">
        <v>108</v>
      </c>
      <c r="C7" s="160">
        <v>130051</v>
      </c>
      <c r="D7" s="160" t="str">
        <f>IFERROR(VLOOKUP(ListaClientes[[#This Row],[Cliente]],Numeracao[[Cliente]:[N° OS]],2,FALSE),"")</f>
        <v/>
      </c>
      <c r="E7" s="15" t="s">
        <v>270</v>
      </c>
      <c r="F7" s="15" t="s">
        <v>271</v>
      </c>
      <c r="G7" s="15" t="s">
        <v>272</v>
      </c>
    </row>
    <row r="8" spans="1:7" x14ac:dyDescent="0.25">
      <c r="A8" s="160">
        <v>7</v>
      </c>
      <c r="B8" s="16" t="s">
        <v>109</v>
      </c>
      <c r="C8" s="160">
        <v>130113</v>
      </c>
      <c r="D8" s="160" t="str">
        <f>IFERROR(VLOOKUP(ListaClientes[[#This Row],[Cliente]],Numeracao[[Cliente]:[N° OS]],2,FALSE),"")</f>
        <v/>
      </c>
      <c r="E8" s="15" t="s">
        <v>304</v>
      </c>
      <c r="F8" s="15" t="s">
        <v>302</v>
      </c>
      <c r="G8" s="15" t="s">
        <v>303</v>
      </c>
    </row>
    <row r="9" spans="1:7" x14ac:dyDescent="0.25">
      <c r="A9" s="160">
        <v>8</v>
      </c>
      <c r="B9" s="16" t="s">
        <v>110</v>
      </c>
      <c r="C9" s="160">
        <v>130081</v>
      </c>
      <c r="D9" s="160" t="str">
        <f>IFERROR(VLOOKUP(ListaClientes[[#This Row],[Cliente]],Numeracao[[Cliente]:[N° OS]],2,FALSE),"")</f>
        <v/>
      </c>
      <c r="E9" s="15" t="s">
        <v>284</v>
      </c>
      <c r="F9" s="15" t="s">
        <v>285</v>
      </c>
      <c r="G9" s="15" t="s">
        <v>286</v>
      </c>
    </row>
    <row r="10" spans="1:7" x14ac:dyDescent="0.25">
      <c r="A10" s="160">
        <v>9</v>
      </c>
      <c r="B10" s="16" t="s">
        <v>111</v>
      </c>
      <c r="C10" s="160">
        <v>130107</v>
      </c>
      <c r="D10" s="160" t="str">
        <f>IFERROR(VLOOKUP(ListaClientes[[#This Row],[Cliente]],Numeracao[[Cliente]:[N° OS]],2,FALSE),"")</f>
        <v/>
      </c>
      <c r="E10" s="15" t="s">
        <v>299</v>
      </c>
      <c r="F10" s="15" t="s">
        <v>300</v>
      </c>
      <c r="G10" s="15" t="s">
        <v>301</v>
      </c>
    </row>
    <row r="11" spans="1:7" x14ac:dyDescent="0.25">
      <c r="A11" s="160">
        <v>10</v>
      </c>
      <c r="B11" s="16" t="s">
        <v>112</v>
      </c>
      <c r="C11" s="160">
        <v>130161</v>
      </c>
      <c r="D11" s="160" t="str">
        <f>IFERROR(VLOOKUP(ListaClientes[[#This Row],[Cliente]],Numeracao[[Cliente]:[N° OS]],2,FALSE),"")</f>
        <v/>
      </c>
      <c r="E11" s="15" t="s">
        <v>305</v>
      </c>
      <c r="F11" s="15" t="s">
        <v>306</v>
      </c>
      <c r="G11" s="15" t="s">
        <v>307</v>
      </c>
    </row>
    <row r="12" spans="1:7" x14ac:dyDescent="0.25">
      <c r="A12" s="160">
        <v>11</v>
      </c>
      <c r="B12" s="16" t="s">
        <v>113</v>
      </c>
      <c r="C12" s="160">
        <v>130197</v>
      </c>
      <c r="D12" s="160" t="str">
        <f>IFERROR(VLOOKUP(ListaClientes[[#This Row],[Cliente]],Numeracao[[Cliente]:[N° OS]],2,FALSE),"")</f>
        <v/>
      </c>
      <c r="E12" s="15" t="s">
        <v>320</v>
      </c>
      <c r="F12" s="15" t="s">
        <v>321</v>
      </c>
      <c r="G12" s="15" t="s">
        <v>322</v>
      </c>
    </row>
    <row r="13" spans="1:7" x14ac:dyDescent="0.25">
      <c r="A13" s="160">
        <v>12</v>
      </c>
      <c r="B13" s="16" t="s">
        <v>114</v>
      </c>
      <c r="C13" s="160">
        <v>130202</v>
      </c>
      <c r="D13" s="160" t="str">
        <f>IFERROR(VLOOKUP(ListaClientes[[#This Row],[Cliente]],Numeracao[[Cliente]:[N° OS]],2,FALSE),"")</f>
        <v/>
      </c>
      <c r="E13" s="15" t="s">
        <v>323</v>
      </c>
      <c r="F13" s="15" t="s">
        <v>324</v>
      </c>
      <c r="G13" s="15" t="s">
        <v>325</v>
      </c>
    </row>
    <row r="14" spans="1:7" x14ac:dyDescent="0.25">
      <c r="A14" s="160">
        <v>13</v>
      </c>
      <c r="B14" s="16" t="s">
        <v>115</v>
      </c>
      <c r="C14" s="160">
        <v>130091</v>
      </c>
      <c r="D14" s="160" t="str">
        <f>IFERROR(VLOOKUP(ListaClientes[[#This Row],[Cliente]],Numeracao[[Cliente]:[N° OS]],2,FALSE),"")</f>
        <v/>
      </c>
      <c r="E14" s="15" t="s">
        <v>290</v>
      </c>
      <c r="F14" s="15" t="s">
        <v>291</v>
      </c>
      <c r="G14" s="15" t="s">
        <v>292</v>
      </c>
    </row>
    <row r="15" spans="1:7" x14ac:dyDescent="0.25">
      <c r="A15" s="160">
        <v>14</v>
      </c>
      <c r="B15" s="16" t="s">
        <v>116</v>
      </c>
      <c r="C15" s="160">
        <v>130240</v>
      </c>
      <c r="D15" s="160" t="str">
        <f>IFERROR(VLOOKUP(ListaClientes[[#This Row],[Cliente]],Numeracao[[Cliente]:[N° OS]],2,FALSE),"")</f>
        <v/>
      </c>
      <c r="E15" s="15" t="s">
        <v>340</v>
      </c>
      <c r="F15" s="15" t="s">
        <v>341</v>
      </c>
      <c r="G15" s="15" t="s">
        <v>342</v>
      </c>
    </row>
    <row r="16" spans="1:7" x14ac:dyDescent="0.25">
      <c r="A16" s="160">
        <v>15</v>
      </c>
      <c r="B16" s="16" t="s">
        <v>117</v>
      </c>
      <c r="C16" s="160">
        <v>130071</v>
      </c>
      <c r="D16" s="160" t="str">
        <f>IFERROR(VLOOKUP(ListaClientes[[#This Row],[Cliente]],Numeracao[[Cliente]:[N° OS]],2,FALSE),"")</f>
        <v/>
      </c>
      <c r="E16" s="15" t="s">
        <v>275</v>
      </c>
      <c r="F16" s="15" t="s">
        <v>276</v>
      </c>
      <c r="G16" s="15" t="s">
        <v>277</v>
      </c>
    </row>
    <row r="17" spans="1:7" x14ac:dyDescent="0.25">
      <c r="A17" s="160">
        <v>16</v>
      </c>
      <c r="B17" s="16" t="s">
        <v>118</v>
      </c>
      <c r="C17" s="160">
        <v>130236</v>
      </c>
      <c r="D17" s="160" t="str">
        <f>IFERROR(VLOOKUP(ListaClientes[[#This Row],[Cliente]],Numeracao[[Cliente]:[N° OS]],2,FALSE),"")</f>
        <v/>
      </c>
      <c r="E17" s="15" t="s">
        <v>336</v>
      </c>
      <c r="F17" s="15" t="s">
        <v>339</v>
      </c>
      <c r="G17" s="15" t="s">
        <v>337</v>
      </c>
    </row>
    <row r="18" spans="1:7" x14ac:dyDescent="0.25">
      <c r="A18" s="160">
        <v>17</v>
      </c>
      <c r="B18" s="16" t="s">
        <v>119</v>
      </c>
      <c r="C18" s="160">
        <v>130255</v>
      </c>
      <c r="D18" s="160" t="str">
        <f>IFERROR(VLOOKUP(ListaClientes[[#This Row],[Cliente]],Numeracao[[Cliente]:[N° OS]],2,FALSE),"")</f>
        <v/>
      </c>
      <c r="E18" s="15" t="s">
        <v>346</v>
      </c>
      <c r="F18" s="15" t="s">
        <v>347</v>
      </c>
      <c r="G18" s="15" t="s">
        <v>348</v>
      </c>
    </row>
    <row r="19" spans="1:7" x14ac:dyDescent="0.25">
      <c r="A19" s="160">
        <v>18</v>
      </c>
      <c r="B19" s="16" t="s">
        <v>120</v>
      </c>
      <c r="C19" s="160">
        <v>130034</v>
      </c>
      <c r="D19" s="160" t="str">
        <f>IFERROR(VLOOKUP(ListaClientes[[#This Row],[Cliente]],Numeracao[[Cliente]:[N° OS]],2,FALSE),"")</f>
        <v/>
      </c>
      <c r="E19" s="15" t="s">
        <v>264</v>
      </c>
      <c r="F19" s="15" t="s">
        <v>265</v>
      </c>
      <c r="G19" s="15" t="s">
        <v>266</v>
      </c>
    </row>
    <row r="20" spans="1:7" x14ac:dyDescent="0.25">
      <c r="A20" s="160">
        <v>19</v>
      </c>
      <c r="B20" s="16" t="s">
        <v>121</v>
      </c>
      <c r="C20" s="160">
        <v>130273</v>
      </c>
      <c r="D20" s="160" t="str">
        <f>IFERROR(VLOOKUP(ListaClientes[[#This Row],[Cliente]],Numeracao[[Cliente]:[N° OS]],2,FALSE),"")</f>
        <v/>
      </c>
      <c r="E20" s="15" t="s">
        <v>351</v>
      </c>
      <c r="F20" s="15" t="s">
        <v>352</v>
      </c>
      <c r="G20" s="15" t="s">
        <v>353</v>
      </c>
    </row>
    <row r="21" spans="1:7" x14ac:dyDescent="0.25">
      <c r="A21" s="160">
        <v>20</v>
      </c>
      <c r="B21" s="16" t="s">
        <v>122</v>
      </c>
      <c r="C21" s="160">
        <v>130228</v>
      </c>
      <c r="D21" s="160" t="str">
        <f>IFERROR(VLOOKUP(ListaClientes[[#This Row],[Cliente]],Numeracao[[Cliente]:[N° OS]],2,FALSE),"")</f>
        <v/>
      </c>
      <c r="E21" s="15" t="s">
        <v>332</v>
      </c>
      <c r="F21" s="15" t="s">
        <v>333</v>
      </c>
      <c r="G21" s="15" t="s">
        <v>334</v>
      </c>
    </row>
    <row r="22" spans="1:7" x14ac:dyDescent="0.25">
      <c r="A22" s="160">
        <v>21</v>
      </c>
      <c r="B22" s="16" t="s">
        <v>123</v>
      </c>
      <c r="C22" s="160">
        <v>130290</v>
      </c>
      <c r="D22" s="160" t="str">
        <f>IFERROR(VLOOKUP(ListaClientes[[#This Row],[Cliente]],Numeracao[[Cliente]:[N° OS]],2,FALSE),"")</f>
        <v/>
      </c>
      <c r="E22" s="15" t="s">
        <v>360</v>
      </c>
      <c r="F22" s="15" t="s">
        <v>358</v>
      </c>
      <c r="G22" s="15" t="s">
        <v>359</v>
      </c>
    </row>
    <row r="23" spans="1:7" x14ac:dyDescent="0.25">
      <c r="A23" s="160">
        <v>22</v>
      </c>
      <c r="B23" s="16" t="s">
        <v>124</v>
      </c>
      <c r="C23" s="160">
        <v>130293</v>
      </c>
      <c r="D23" s="160" t="str">
        <f>IFERROR(VLOOKUP(ListaClientes[[#This Row],[Cliente]],Numeracao[[Cliente]:[N° OS]],2,FALSE),"")</f>
        <v/>
      </c>
      <c r="E23" s="15" t="s">
        <v>361</v>
      </c>
      <c r="F23" s="15" t="s">
        <v>362</v>
      </c>
      <c r="G23" s="15" t="s">
        <v>363</v>
      </c>
    </row>
    <row r="24" spans="1:7" x14ac:dyDescent="0.25">
      <c r="A24" s="160">
        <v>23</v>
      </c>
      <c r="B24" s="16" t="s">
        <v>125</v>
      </c>
      <c r="C24" s="160">
        <v>130104</v>
      </c>
      <c r="D24" s="160" t="str">
        <f>IFERROR(VLOOKUP(ListaClientes[[#This Row],[Cliente]],Numeracao[[Cliente]:[N° OS]],2,FALSE),"")</f>
        <v/>
      </c>
      <c r="E24" s="15" t="s">
        <v>297</v>
      </c>
      <c r="F24" s="15" t="s">
        <v>296</v>
      </c>
      <c r="G24" s="15" t="s">
        <v>298</v>
      </c>
    </row>
    <row r="25" spans="1:7" x14ac:dyDescent="0.25">
      <c r="A25" s="160">
        <v>24</v>
      </c>
      <c r="B25" s="16" t="s">
        <v>126</v>
      </c>
      <c r="C25" s="160">
        <v>130237</v>
      </c>
      <c r="D25" s="160" t="str">
        <f>IFERROR(VLOOKUP(ListaClientes[[#This Row],[Cliente]],Numeracao[[Cliente]:[N° OS]],2,FALSE),"")</f>
        <v/>
      </c>
      <c r="E25" s="15" t="s">
        <v>338</v>
      </c>
      <c r="F25" s="15" t="s">
        <v>339</v>
      </c>
      <c r="G25" s="15" t="s">
        <v>337</v>
      </c>
    </row>
    <row r="26" spans="1:7" x14ac:dyDescent="0.25">
      <c r="A26" s="160">
        <v>25</v>
      </c>
      <c r="B26" s="16" t="s">
        <v>127</v>
      </c>
      <c r="C26" s="160">
        <v>130187</v>
      </c>
      <c r="D26" s="160" t="str">
        <f>IFERROR(VLOOKUP(ListaClientes[[#This Row],[Cliente]],Numeracao[[Cliente]:[N° OS]],2,FALSE),"")</f>
        <v/>
      </c>
      <c r="E26" s="15" t="s">
        <v>319</v>
      </c>
      <c r="F26" s="15" t="s">
        <v>16</v>
      </c>
      <c r="G26" s="15" t="s">
        <v>16</v>
      </c>
    </row>
    <row r="27" spans="1:7" x14ac:dyDescent="0.25">
      <c r="A27" s="160">
        <v>26</v>
      </c>
      <c r="B27" s="16" t="s">
        <v>128</v>
      </c>
      <c r="C27" s="160">
        <v>130182</v>
      </c>
      <c r="D27" s="160" t="str">
        <f>IFERROR(VLOOKUP(ListaClientes[[#This Row],[Cliente]],Numeracao[[Cliente]:[N° OS]],2,FALSE),"")</f>
        <v/>
      </c>
      <c r="E27" s="15" t="s">
        <v>318</v>
      </c>
      <c r="F27" s="15" t="s">
        <v>16</v>
      </c>
      <c r="G27" s="15" t="s">
        <v>16</v>
      </c>
    </row>
    <row r="28" spans="1:7" x14ac:dyDescent="0.25">
      <c r="A28" s="160">
        <v>27</v>
      </c>
      <c r="B28" s="16" t="s">
        <v>129</v>
      </c>
      <c r="C28" s="160">
        <v>130212</v>
      </c>
      <c r="D28" s="160" t="str">
        <f>IFERROR(VLOOKUP(ListaClientes[[#This Row],[Cliente]],Numeracao[[Cliente]:[N° OS]],2,FALSE),"")</f>
        <v/>
      </c>
      <c r="E28" s="15" t="s">
        <v>326</v>
      </c>
      <c r="F28" s="15" t="s">
        <v>327</v>
      </c>
      <c r="G28" s="15" t="s">
        <v>328</v>
      </c>
    </row>
    <row r="29" spans="1:7" x14ac:dyDescent="0.25">
      <c r="A29" s="160">
        <v>28</v>
      </c>
      <c r="B29" s="16" t="s">
        <v>130</v>
      </c>
      <c r="C29" s="160">
        <v>130168</v>
      </c>
      <c r="D29" s="160" t="str">
        <f>IFERROR(VLOOKUP(ListaClientes[[#This Row],[Cliente]],Numeracao[[Cliente]:[N° OS]],2,FALSE),"")</f>
        <v/>
      </c>
      <c r="E29" s="15" t="s">
        <v>308</v>
      </c>
      <c r="F29" s="15" t="s">
        <v>309</v>
      </c>
      <c r="G29" s="15" t="s">
        <v>310</v>
      </c>
    </row>
    <row r="30" spans="1:7" x14ac:dyDescent="0.25">
      <c r="A30" s="160">
        <v>29</v>
      </c>
      <c r="B30" s="16" t="s">
        <v>131</v>
      </c>
      <c r="C30" s="160">
        <v>130306</v>
      </c>
      <c r="D30" s="160" t="str">
        <f>IFERROR(VLOOKUP(ListaClientes[[#This Row],[Cliente]],Numeracao[[Cliente]:[N° OS]],2,FALSE),"")</f>
        <v/>
      </c>
      <c r="E30" s="15" t="s">
        <v>366</v>
      </c>
      <c r="F30" s="15" t="s">
        <v>368</v>
      </c>
      <c r="G30" s="15" t="s">
        <v>369</v>
      </c>
    </row>
    <row r="31" spans="1:7" x14ac:dyDescent="0.25">
      <c r="A31" s="160">
        <v>30</v>
      </c>
      <c r="B31" s="16" t="s">
        <v>132</v>
      </c>
      <c r="C31" s="160">
        <v>130299</v>
      </c>
      <c r="D31" s="160" t="str">
        <f>IFERROR(VLOOKUP(ListaClientes[[#This Row],[Cliente]],Numeracao[[Cliente]:[N° OS]],2,FALSE),"")</f>
        <v/>
      </c>
      <c r="E31" s="15" t="s">
        <v>367</v>
      </c>
      <c r="F31" s="15" t="s">
        <v>364</v>
      </c>
      <c r="G31" s="15" t="s">
        <v>365</v>
      </c>
    </row>
    <row r="32" spans="1:7" x14ac:dyDescent="0.25">
      <c r="A32" s="160">
        <v>31</v>
      </c>
      <c r="B32" s="16" t="s">
        <v>133</v>
      </c>
      <c r="C32" s="160">
        <v>130416</v>
      </c>
      <c r="D32" s="160" t="str">
        <f>IFERROR(VLOOKUP(ListaClientes[[#This Row],[Cliente]],Numeracao[[Cliente]:[N° OS]],2,FALSE),"")</f>
        <v/>
      </c>
      <c r="E32" s="15" t="s">
        <v>395</v>
      </c>
      <c r="F32" s="15" t="s">
        <v>396</v>
      </c>
      <c r="G32" s="15" t="s">
        <v>397</v>
      </c>
    </row>
    <row r="33" spans="1:7" x14ac:dyDescent="0.25">
      <c r="A33" s="160">
        <v>32</v>
      </c>
      <c r="B33" s="16" t="s">
        <v>134</v>
      </c>
      <c r="C33" s="160">
        <v>130332</v>
      </c>
      <c r="D33" s="160" t="str">
        <f>IFERROR(VLOOKUP(ListaClientes[[#This Row],[Cliente]],Numeracao[[Cliente]:[N° OS]],2,FALSE),"")</f>
        <v/>
      </c>
      <c r="E33" s="15" t="s">
        <v>375</v>
      </c>
      <c r="F33" s="15" t="s">
        <v>374</v>
      </c>
      <c r="G33" s="15" t="s">
        <v>373</v>
      </c>
    </row>
    <row r="34" spans="1:7" x14ac:dyDescent="0.25">
      <c r="A34" s="160">
        <v>33</v>
      </c>
      <c r="B34" s="16" t="s">
        <v>135</v>
      </c>
      <c r="C34" s="160">
        <v>130365</v>
      </c>
      <c r="D34" s="160" t="str">
        <f>IFERROR(VLOOKUP(ListaClientes[[#This Row],[Cliente]],Numeracao[[Cliente]:[N° OS]],2,FALSE),"")</f>
        <v/>
      </c>
      <c r="E34" s="15" t="s">
        <v>381</v>
      </c>
      <c r="F34" s="15" t="s">
        <v>380</v>
      </c>
      <c r="G34" s="15" t="s">
        <v>382</v>
      </c>
    </row>
    <row r="35" spans="1:7" x14ac:dyDescent="0.25">
      <c r="A35" s="160">
        <v>34</v>
      </c>
      <c r="B35" s="16" t="s">
        <v>136</v>
      </c>
      <c r="C35" s="160">
        <v>130408</v>
      </c>
      <c r="D35" s="160" t="str">
        <f>IFERROR(VLOOKUP(ListaClientes[[#This Row],[Cliente]],Numeracao[[Cliente]:[N° OS]],2,FALSE),"")</f>
        <v/>
      </c>
      <c r="E35" s="15" t="s">
        <v>389</v>
      </c>
      <c r="F35" s="15" t="s">
        <v>390</v>
      </c>
      <c r="G35" s="15" t="s">
        <v>391</v>
      </c>
    </row>
    <row r="36" spans="1:7" x14ac:dyDescent="0.25">
      <c r="A36" s="160">
        <v>35</v>
      </c>
      <c r="B36" s="16" t="s">
        <v>137</v>
      </c>
      <c r="C36" s="160">
        <v>130413</v>
      </c>
      <c r="D36" s="160" t="str">
        <f>IFERROR(VLOOKUP(ListaClientes[[#This Row],[Cliente]],Numeracao[[Cliente]:[N° OS]],2,FALSE),"")</f>
        <v/>
      </c>
      <c r="E36" s="15" t="s">
        <v>394</v>
      </c>
      <c r="F36" s="15" t="s">
        <v>392</v>
      </c>
      <c r="G36" s="15" t="s">
        <v>258</v>
      </c>
    </row>
    <row r="37" spans="1:7" x14ac:dyDescent="0.25">
      <c r="A37" s="160">
        <v>36</v>
      </c>
      <c r="B37" s="16" t="s">
        <v>138</v>
      </c>
      <c r="C37" s="160">
        <v>130381</v>
      </c>
      <c r="D37" s="160" t="str">
        <f>IFERROR(VLOOKUP(ListaClientes[[#This Row],[Cliente]],Numeracao[[Cliente]:[N° OS]],2,FALSE),"")</f>
        <v/>
      </c>
      <c r="E37" s="15" t="s">
        <v>383</v>
      </c>
      <c r="F37" s="15" t="s">
        <v>384</v>
      </c>
      <c r="G37" s="15" t="s">
        <v>385</v>
      </c>
    </row>
    <row r="38" spans="1:7" x14ac:dyDescent="0.25">
      <c r="A38" s="160">
        <v>37</v>
      </c>
      <c r="B38" s="16" t="s">
        <v>139</v>
      </c>
      <c r="C38" s="160">
        <v>130178</v>
      </c>
      <c r="D38" s="160" t="str">
        <f>IFERROR(VLOOKUP(ListaClientes[[#This Row],[Cliente]],Numeracao[[Cliente]:[N° OS]],2,FALSE),"")</f>
        <v/>
      </c>
      <c r="E38" s="15" t="s">
        <v>315</v>
      </c>
      <c r="F38" s="15" t="s">
        <v>316</v>
      </c>
      <c r="G38" s="15" t="s">
        <v>317</v>
      </c>
    </row>
    <row r="39" spans="1:7" x14ac:dyDescent="0.25">
      <c r="A39" s="160">
        <v>38</v>
      </c>
      <c r="B39" s="16" t="s">
        <v>140</v>
      </c>
      <c r="C39" s="160">
        <v>130440</v>
      </c>
      <c r="D39" s="160" t="str">
        <f>IFERROR(VLOOKUP(ListaClientes[[#This Row],[Cliente]],Numeracao[[Cliente]:[N° OS]],2,FALSE),"")</f>
        <v/>
      </c>
      <c r="E39" s="15" t="s">
        <v>405</v>
      </c>
      <c r="F39" s="15" t="s">
        <v>406</v>
      </c>
      <c r="G39" s="15" t="s">
        <v>407</v>
      </c>
    </row>
    <row r="40" spans="1:7" x14ac:dyDescent="0.25">
      <c r="A40" s="160">
        <v>39</v>
      </c>
      <c r="B40" s="16" t="s">
        <v>141</v>
      </c>
      <c r="C40" s="160">
        <v>130461</v>
      </c>
      <c r="D40" s="160" t="str">
        <f>IFERROR(VLOOKUP(ListaClientes[[#This Row],[Cliente]],Numeracao[[Cliente]:[N° OS]],2,FALSE),"")</f>
        <v/>
      </c>
      <c r="E40" s="15" t="s">
        <v>414</v>
      </c>
      <c r="F40" s="15" t="s">
        <v>415</v>
      </c>
      <c r="G40" s="15" t="s">
        <v>416</v>
      </c>
    </row>
    <row r="41" spans="1:7" x14ac:dyDescent="0.25">
      <c r="A41" s="160">
        <v>40</v>
      </c>
      <c r="B41" s="16" t="s">
        <v>142</v>
      </c>
      <c r="C41" s="160">
        <v>130476</v>
      </c>
      <c r="D41" s="160" t="str">
        <f>IFERROR(VLOOKUP(ListaClientes[[#This Row],[Cliente]],Numeracao[[Cliente]:[N° OS]],2,FALSE),"")</f>
        <v/>
      </c>
      <c r="E41" s="15" t="s">
        <v>420</v>
      </c>
      <c r="F41" s="15" t="s">
        <v>422</v>
      </c>
      <c r="G41" s="15" t="s">
        <v>421</v>
      </c>
    </row>
    <row r="42" spans="1:7" x14ac:dyDescent="0.25">
      <c r="A42" s="160">
        <v>41</v>
      </c>
      <c r="B42" s="16" t="s">
        <v>143</v>
      </c>
      <c r="C42" s="160">
        <v>130225</v>
      </c>
      <c r="D42" s="160" t="str">
        <f>IFERROR(VLOOKUP(ListaClientes[[#This Row],[Cliente]],Numeracao[[Cliente]:[N° OS]],2,FALSE),"")</f>
        <v/>
      </c>
      <c r="E42" s="15" t="s">
        <v>329</v>
      </c>
      <c r="F42" s="15" t="s">
        <v>330</v>
      </c>
      <c r="G42" s="15" t="s">
        <v>331</v>
      </c>
    </row>
    <row r="43" spans="1:7" x14ac:dyDescent="0.25">
      <c r="A43" s="160">
        <v>42</v>
      </c>
      <c r="B43" s="16" t="s">
        <v>144</v>
      </c>
      <c r="C43" s="160">
        <v>130093</v>
      </c>
      <c r="D43" s="160" t="str">
        <f>IFERROR(VLOOKUP(ListaClientes[[#This Row],[Cliente]],Numeracao[[Cliente]:[N° OS]],2,FALSE),"")</f>
        <v/>
      </c>
      <c r="E43" s="15" t="s">
        <v>293</v>
      </c>
      <c r="F43" s="15" t="s">
        <v>294</v>
      </c>
      <c r="G43" s="15" t="s">
        <v>295</v>
      </c>
    </row>
    <row r="44" spans="1:7" x14ac:dyDescent="0.25">
      <c r="A44" s="160">
        <v>43</v>
      </c>
      <c r="B44" s="16" t="s">
        <v>145</v>
      </c>
      <c r="C44" s="160">
        <v>130451</v>
      </c>
      <c r="D44" s="160" t="str">
        <f>IFERROR(VLOOKUP(ListaClientes[[#This Row],[Cliente]],Numeracao[[Cliente]:[N° OS]],2,FALSE),"")</f>
        <v/>
      </c>
      <c r="E44" s="15" t="s">
        <v>410</v>
      </c>
      <c r="F44" s="15" t="s">
        <v>409</v>
      </c>
      <c r="G44" s="15" t="s">
        <v>408</v>
      </c>
    </row>
    <row r="45" spans="1:7" x14ac:dyDescent="0.25">
      <c r="A45" s="160">
        <v>44</v>
      </c>
      <c r="B45" s="16" t="s">
        <v>146</v>
      </c>
      <c r="C45" s="160">
        <v>130023</v>
      </c>
      <c r="D45" s="160" t="str">
        <f>IFERROR(VLOOKUP(ListaClientes[[#This Row],[Cliente]],Numeracao[[Cliente]:[N° OS]],2,FALSE),"")</f>
        <v/>
      </c>
      <c r="E45" s="15" t="s">
        <v>255</v>
      </c>
      <c r="F45" s="15" t="s">
        <v>256</v>
      </c>
      <c r="G45" s="15" t="s">
        <v>258</v>
      </c>
    </row>
    <row r="46" spans="1:7" x14ac:dyDescent="0.25">
      <c r="A46" s="160">
        <v>45</v>
      </c>
      <c r="B46" s="16" t="s">
        <v>147</v>
      </c>
      <c r="C46" s="160">
        <v>130519</v>
      </c>
      <c r="D46" s="160" t="str">
        <f>IFERROR(VLOOKUP(ListaClientes[[#This Row],[Cliente]],Numeracao[[Cliente]:[N° OS]],2,FALSE),"")</f>
        <v/>
      </c>
      <c r="E46" s="15" t="s">
        <v>433</v>
      </c>
      <c r="F46" s="15" t="s">
        <v>434</v>
      </c>
      <c r="G46" s="15" t="s">
        <v>435</v>
      </c>
    </row>
    <row r="47" spans="1:7" x14ac:dyDescent="0.25">
      <c r="A47" s="160">
        <v>46</v>
      </c>
      <c r="B47" s="16" t="s">
        <v>148</v>
      </c>
      <c r="C47" s="160">
        <v>130521</v>
      </c>
      <c r="D47" s="160" t="str">
        <f>IFERROR(VLOOKUP(ListaClientes[[#This Row],[Cliente]],Numeracao[[Cliente]:[N° OS]],2,FALSE),"")</f>
        <v/>
      </c>
      <c r="E47" s="15" t="s">
        <v>437</v>
      </c>
      <c r="F47" s="15" t="s">
        <v>438</v>
      </c>
      <c r="G47" s="15" t="s">
        <v>436</v>
      </c>
    </row>
    <row r="48" spans="1:7" x14ac:dyDescent="0.25">
      <c r="A48" s="160">
        <v>47</v>
      </c>
      <c r="B48" s="16" t="s">
        <v>149</v>
      </c>
      <c r="C48" s="160">
        <v>130525</v>
      </c>
      <c r="D48" s="160" t="str">
        <f>IFERROR(VLOOKUP(ListaClientes[[#This Row],[Cliente]],Numeracao[[Cliente]:[N° OS]],2,FALSE),"")</f>
        <v/>
      </c>
      <c r="E48" s="15" t="s">
        <v>441</v>
      </c>
      <c r="F48" s="15" t="s">
        <v>440</v>
      </c>
      <c r="G48" s="15" t="s">
        <v>439</v>
      </c>
    </row>
    <row r="49" spans="1:7" x14ac:dyDescent="0.25">
      <c r="A49" s="160">
        <v>48</v>
      </c>
      <c r="B49" s="16" t="s">
        <v>150</v>
      </c>
      <c r="C49" s="160">
        <v>130536</v>
      </c>
      <c r="D49" s="160" t="str">
        <f>IFERROR(VLOOKUP(ListaClientes[[#This Row],[Cliente]],Numeracao[[Cliente]:[N° OS]],2,FALSE),"")</f>
        <v/>
      </c>
      <c r="E49" s="15" t="s">
        <v>443</v>
      </c>
      <c r="F49" s="15" t="s">
        <v>444</v>
      </c>
      <c r="G49" s="15" t="s">
        <v>445</v>
      </c>
    </row>
    <row r="50" spans="1:7" x14ac:dyDescent="0.25">
      <c r="A50" s="160">
        <v>49</v>
      </c>
      <c r="B50" s="16" t="s">
        <v>151</v>
      </c>
      <c r="C50" s="160">
        <v>130438</v>
      </c>
      <c r="D50" s="160" t="str">
        <f>IFERROR(VLOOKUP(ListaClientes[[#This Row],[Cliente]],Numeracao[[Cliente]:[N° OS]],2,FALSE),"")</f>
        <v/>
      </c>
      <c r="E50" s="15" t="s">
        <v>401</v>
      </c>
      <c r="F50" s="15" t="s">
        <v>400</v>
      </c>
      <c r="G50" s="15" t="s">
        <v>399</v>
      </c>
    </row>
    <row r="51" spans="1:7" x14ac:dyDescent="0.25">
      <c r="A51" s="160">
        <v>50</v>
      </c>
      <c r="B51" s="16" t="s">
        <v>152</v>
      </c>
      <c r="C51" s="160">
        <v>130055</v>
      </c>
      <c r="D51" s="160" t="str">
        <f>IFERROR(VLOOKUP(ListaClientes[[#This Row],[Cliente]],Numeracao[[Cliente]:[N° OS]],2,FALSE),"")</f>
        <v/>
      </c>
      <c r="E51" s="15" t="s">
        <v>273</v>
      </c>
      <c r="F51" s="15" t="s">
        <v>274</v>
      </c>
      <c r="G51" s="15"/>
    </row>
    <row r="52" spans="1:7" x14ac:dyDescent="0.25">
      <c r="A52" s="160">
        <v>51</v>
      </c>
      <c r="B52" s="16" t="s">
        <v>153</v>
      </c>
      <c r="C52" s="160">
        <v>130400</v>
      </c>
      <c r="D52" s="160" t="str">
        <f>IFERROR(VLOOKUP(ListaClientes[[#This Row],[Cliente]],Numeracao[[Cliente]:[N° OS]],2,FALSE),"")</f>
        <v/>
      </c>
      <c r="E52" s="15" t="s">
        <v>386</v>
      </c>
      <c r="F52" s="15" t="s">
        <v>387</v>
      </c>
      <c r="G52" s="15" t="s">
        <v>388</v>
      </c>
    </row>
    <row r="53" spans="1:7" x14ac:dyDescent="0.25">
      <c r="A53" s="160">
        <v>52</v>
      </c>
      <c r="B53" s="16" t="s">
        <v>154</v>
      </c>
      <c r="C53" s="160">
        <v>130412</v>
      </c>
      <c r="D53" s="160" t="str">
        <f>IFERROR(VLOOKUP(ListaClientes[[#This Row],[Cliente]],Numeracao[[Cliente]:[N° OS]],2,FALSE),"")</f>
        <v/>
      </c>
      <c r="E53" s="15" t="s">
        <v>393</v>
      </c>
      <c r="F53" s="15" t="s">
        <v>392</v>
      </c>
      <c r="G53" s="15" t="s">
        <v>258</v>
      </c>
    </row>
    <row r="54" spans="1:7" x14ac:dyDescent="0.25">
      <c r="A54" s="160">
        <v>53</v>
      </c>
      <c r="B54" s="16" t="s">
        <v>155</v>
      </c>
      <c r="C54" s="160">
        <v>130532</v>
      </c>
      <c r="D54" s="160" t="str">
        <f>IFERROR(VLOOKUP(ListaClientes[[#This Row],[Cliente]],Numeracao[[Cliente]:[N° OS]],2,FALSE),"")</f>
        <v/>
      </c>
      <c r="E54" s="15" t="s">
        <v>442</v>
      </c>
      <c r="F54" s="15"/>
      <c r="G54" s="15"/>
    </row>
    <row r="55" spans="1:7" x14ac:dyDescent="0.25">
      <c r="A55" s="160">
        <v>54</v>
      </c>
      <c r="B55" s="16" t="s">
        <v>156</v>
      </c>
      <c r="C55" s="160">
        <v>130542</v>
      </c>
      <c r="D55" s="160" t="str">
        <f>IFERROR(VLOOKUP(ListaClientes[[#This Row],[Cliente]],Numeracao[[Cliente]:[N° OS]],2,FALSE),"")</f>
        <v/>
      </c>
      <c r="E55" s="15" t="s">
        <v>449</v>
      </c>
      <c r="F55" s="15" t="s">
        <v>450</v>
      </c>
      <c r="G55" s="15" t="s">
        <v>451</v>
      </c>
    </row>
    <row r="56" spans="1:7" x14ac:dyDescent="0.25">
      <c r="A56" s="160">
        <v>55</v>
      </c>
      <c r="B56" s="16" t="s">
        <v>157</v>
      </c>
      <c r="C56" s="160">
        <v>130555</v>
      </c>
      <c r="D56" s="160" t="str">
        <f>IFERROR(VLOOKUP(ListaClientes[[#This Row],[Cliente]],Numeracao[[Cliente]:[N° OS]],2,FALSE),"")</f>
        <v/>
      </c>
      <c r="E56" s="15" t="s">
        <v>453</v>
      </c>
      <c r="F56" s="15" t="s">
        <v>454</v>
      </c>
      <c r="G56" s="15" t="s">
        <v>452</v>
      </c>
    </row>
    <row r="57" spans="1:7" x14ac:dyDescent="0.25">
      <c r="A57" s="160">
        <v>56</v>
      </c>
      <c r="B57" s="16" t="s">
        <v>158</v>
      </c>
      <c r="C57" s="160">
        <v>130285</v>
      </c>
      <c r="D57" s="160" t="str">
        <f>IFERROR(VLOOKUP(ListaClientes[[#This Row],[Cliente]],Numeracao[[Cliente]:[N° OS]],2,FALSE),"")</f>
        <v/>
      </c>
      <c r="E57" s="15" t="s">
        <v>355</v>
      </c>
      <c r="F57" s="15" t="s">
        <v>356</v>
      </c>
      <c r="G57" s="15" t="s">
        <v>357</v>
      </c>
    </row>
    <row r="58" spans="1:7" x14ac:dyDescent="0.25">
      <c r="A58" s="160">
        <v>57</v>
      </c>
      <c r="B58" s="16" t="s">
        <v>159</v>
      </c>
      <c r="C58" s="160">
        <v>130558</v>
      </c>
      <c r="D58" s="160" t="str">
        <f>IFERROR(VLOOKUP(ListaClientes[[#This Row],[Cliente]],Numeracao[[Cliente]:[N° OS]],2,FALSE),"")</f>
        <v/>
      </c>
      <c r="E58" s="15" t="s">
        <v>455</v>
      </c>
      <c r="F58" s="15" t="s">
        <v>456</v>
      </c>
      <c r="G58" s="15" t="s">
        <v>457</v>
      </c>
    </row>
    <row r="59" spans="1:7" x14ac:dyDescent="0.25">
      <c r="A59" s="160">
        <v>58</v>
      </c>
      <c r="B59" s="16" t="s">
        <v>160</v>
      </c>
      <c r="C59" s="160">
        <v>130538</v>
      </c>
      <c r="D59" s="160" t="str">
        <f>IFERROR(VLOOKUP(ListaClientes[[#This Row],[Cliente]],Numeracao[[Cliente]:[N° OS]],2,FALSE),"")</f>
        <v/>
      </c>
      <c r="E59" s="15" t="s">
        <v>446</v>
      </c>
      <c r="F59" s="15" t="s">
        <v>447</v>
      </c>
      <c r="G59" s="15" t="s">
        <v>448</v>
      </c>
    </row>
    <row r="60" spans="1:7" x14ac:dyDescent="0.25">
      <c r="A60" s="160">
        <v>59</v>
      </c>
      <c r="B60" s="16" t="s">
        <v>161</v>
      </c>
      <c r="C60" s="160">
        <v>130565</v>
      </c>
      <c r="D60" s="160" t="str">
        <f>IFERROR(VLOOKUP(ListaClientes[[#This Row],[Cliente]],Numeracao[[Cliente]:[N° OS]],2,FALSE),"")</f>
        <v/>
      </c>
      <c r="E60" s="15" t="s">
        <v>461</v>
      </c>
      <c r="F60" s="15" t="s">
        <v>462</v>
      </c>
      <c r="G60" s="15" t="s">
        <v>463</v>
      </c>
    </row>
    <row r="61" spans="1:7" x14ac:dyDescent="0.25">
      <c r="A61" s="160">
        <v>60</v>
      </c>
      <c r="B61" s="16" t="s">
        <v>162</v>
      </c>
      <c r="C61" s="160">
        <v>130172</v>
      </c>
      <c r="D61" s="160" t="str">
        <f>IFERROR(VLOOKUP(ListaClientes[[#This Row],[Cliente]],Numeracao[[Cliente]:[N° OS]],2,FALSE),"")</f>
        <v/>
      </c>
      <c r="E61" s="15" t="s">
        <v>312</v>
      </c>
      <c r="F61" s="15" t="s">
        <v>313</v>
      </c>
      <c r="G61" s="15" t="s">
        <v>314</v>
      </c>
    </row>
    <row r="62" spans="1:7" x14ac:dyDescent="0.25">
      <c r="A62" s="160">
        <v>61</v>
      </c>
      <c r="B62" s="16" t="s">
        <v>163</v>
      </c>
      <c r="C62" s="160">
        <v>130308</v>
      </c>
      <c r="D62" s="160" t="str">
        <f>IFERROR(VLOOKUP(ListaClientes[[#This Row],[Cliente]],Numeracao[[Cliente]:[N° OS]],2,FALSE),"")</f>
        <v/>
      </c>
      <c r="E62" s="15" t="s">
        <v>370</v>
      </c>
      <c r="F62" s="15" t="s">
        <v>371</v>
      </c>
      <c r="G62" s="15" t="s">
        <v>372</v>
      </c>
    </row>
    <row r="63" spans="1:7" x14ac:dyDescent="0.25">
      <c r="A63" s="160">
        <v>62</v>
      </c>
      <c r="B63" s="16" t="s">
        <v>164</v>
      </c>
      <c r="C63" s="160">
        <v>130579</v>
      </c>
      <c r="D63" s="160" t="str">
        <f>IFERROR(VLOOKUP(ListaClientes[[#This Row],[Cliente]],Numeracao[[Cliente]:[N° OS]],2,FALSE),"")</f>
        <v/>
      </c>
      <c r="E63" s="15" t="s">
        <v>466</v>
      </c>
      <c r="F63" s="15" t="s">
        <v>465</v>
      </c>
      <c r="G63" s="15" t="s">
        <v>464</v>
      </c>
    </row>
    <row r="64" spans="1:7" x14ac:dyDescent="0.25">
      <c r="A64" s="160">
        <v>63</v>
      </c>
      <c r="B64" s="16" t="s">
        <v>165</v>
      </c>
      <c r="C64" s="160">
        <v>130591</v>
      </c>
      <c r="D64" s="160">
        <f>IFERROR(VLOOKUP(ListaClientes[[#This Row],[Cliente]],Numeracao[[Cliente]:[N° OS]],2,FALSE),"")</f>
        <v>4</v>
      </c>
      <c r="E64" s="15" t="s">
        <v>467</v>
      </c>
      <c r="F64" s="15" t="s">
        <v>418</v>
      </c>
      <c r="G64" s="15" t="s">
        <v>419</v>
      </c>
    </row>
    <row r="65" spans="1:7" x14ac:dyDescent="0.25">
      <c r="A65" s="160">
        <v>64</v>
      </c>
      <c r="B65" s="16" t="s">
        <v>166</v>
      </c>
      <c r="C65" s="160">
        <v>130462</v>
      </c>
      <c r="D65" s="160" t="str">
        <f>IFERROR(VLOOKUP(ListaClientes[[#This Row],[Cliente]],Numeracao[[Cliente]:[N° OS]],2,FALSE),"")</f>
        <v/>
      </c>
      <c r="E65" s="15" t="s">
        <v>417</v>
      </c>
      <c r="F65" s="15" t="s">
        <v>418</v>
      </c>
      <c r="G65" s="15" t="s">
        <v>419</v>
      </c>
    </row>
    <row r="66" spans="1:7" x14ac:dyDescent="0.25">
      <c r="A66" s="160">
        <v>65</v>
      </c>
      <c r="B66" s="16" t="s">
        <v>167</v>
      </c>
      <c r="C66" s="160">
        <v>130596</v>
      </c>
      <c r="D66" s="160" t="str">
        <f>IFERROR(VLOOKUP(ListaClientes[[#This Row],[Cliente]],Numeracao[[Cliente]:[N° OS]],2,FALSE),"")</f>
        <v/>
      </c>
      <c r="E66" s="15" t="s">
        <v>468</v>
      </c>
      <c r="F66" s="15" t="s">
        <v>469</v>
      </c>
      <c r="G66" s="15" t="s">
        <v>470</v>
      </c>
    </row>
    <row r="67" spans="1:7" x14ac:dyDescent="0.25">
      <c r="A67" s="160">
        <v>66</v>
      </c>
      <c r="B67" s="16" t="s">
        <v>168</v>
      </c>
      <c r="C67" s="160">
        <v>130090</v>
      </c>
      <c r="D67" s="160" t="str">
        <f>IFERROR(VLOOKUP(ListaClientes[[#This Row],[Cliente]],Numeracao[[Cliente]:[N° OS]],2,FALSE),"")</f>
        <v/>
      </c>
      <c r="E67" s="15" t="s">
        <v>287</v>
      </c>
      <c r="F67" s="15" t="s">
        <v>288</v>
      </c>
      <c r="G67" s="15" t="s">
        <v>289</v>
      </c>
    </row>
    <row r="68" spans="1:7" x14ac:dyDescent="0.25">
      <c r="A68" s="160">
        <v>67</v>
      </c>
      <c r="B68" s="16" t="s">
        <v>169</v>
      </c>
      <c r="C68" s="160">
        <v>130613</v>
      </c>
      <c r="D68" s="160" t="str">
        <f>IFERROR(VLOOKUP(ListaClientes[[#This Row],[Cliente]],Numeracao[[Cliente]:[N° OS]],2,FALSE),"")</f>
        <v/>
      </c>
      <c r="E68" s="15" t="s">
        <v>471</v>
      </c>
      <c r="F68" s="15" t="s">
        <v>472</v>
      </c>
      <c r="G68" s="15" t="s">
        <v>473</v>
      </c>
    </row>
    <row r="69" spans="1:7" x14ac:dyDescent="0.25">
      <c r="A69" s="160">
        <v>68</v>
      </c>
      <c r="B69" s="16" t="s">
        <v>170</v>
      </c>
      <c r="C69" s="160">
        <v>130562</v>
      </c>
      <c r="D69" s="160" t="str">
        <f>IFERROR(VLOOKUP(ListaClientes[[#This Row],[Cliente]],Numeracao[[Cliente]:[N° OS]],2,FALSE),"")</f>
        <v/>
      </c>
      <c r="E69" s="15" t="s">
        <v>458</v>
      </c>
      <c r="F69" s="15" t="s">
        <v>460</v>
      </c>
      <c r="G69" s="15" t="s">
        <v>459</v>
      </c>
    </row>
    <row r="70" spans="1:7" x14ac:dyDescent="0.25">
      <c r="A70" s="160">
        <v>69</v>
      </c>
      <c r="B70" s="16" t="s">
        <v>171</v>
      </c>
      <c r="C70" s="160">
        <v>130630</v>
      </c>
      <c r="D70" s="160" t="str">
        <f>IFERROR(VLOOKUP(ListaClientes[[#This Row],[Cliente]],Numeracao[[Cliente]:[N° OS]],2,FALSE),"")</f>
        <v/>
      </c>
      <c r="E70" s="15" t="s">
        <v>483</v>
      </c>
      <c r="F70" s="15" t="s">
        <v>484</v>
      </c>
      <c r="G70" s="15" t="s">
        <v>485</v>
      </c>
    </row>
    <row r="71" spans="1:7" x14ac:dyDescent="0.25">
      <c r="A71" s="160">
        <v>70</v>
      </c>
      <c r="B71" s="16" t="s">
        <v>172</v>
      </c>
      <c r="C71" s="160">
        <v>130581</v>
      </c>
      <c r="D71" s="160" t="str">
        <f>IFERROR(VLOOKUP(ListaClientes[[#This Row],[Cliente]],Numeracao[[Cliente]:[N° OS]],2,FALSE),"")</f>
        <v/>
      </c>
      <c r="E71" s="15" t="s">
        <v>492</v>
      </c>
      <c r="F71" s="15" t="s">
        <v>494</v>
      </c>
      <c r="G71" s="15" t="s">
        <v>493</v>
      </c>
    </row>
    <row r="72" spans="1:7" x14ac:dyDescent="0.25">
      <c r="A72" s="160">
        <v>71</v>
      </c>
      <c r="B72" s="16" t="s">
        <v>173</v>
      </c>
      <c r="C72" s="160">
        <v>130629</v>
      </c>
      <c r="D72" s="160" t="str">
        <f>IFERROR(VLOOKUP(ListaClientes[[#This Row],[Cliente]],Numeracao[[Cliente]:[N° OS]],2,FALSE),"")</f>
        <v/>
      </c>
      <c r="E72" s="15" t="s">
        <v>480</v>
      </c>
      <c r="F72" s="15" t="s">
        <v>481</v>
      </c>
      <c r="G72" s="15" t="s">
        <v>482</v>
      </c>
    </row>
    <row r="73" spans="1:7" x14ac:dyDescent="0.25">
      <c r="A73" s="160">
        <v>72</v>
      </c>
      <c r="B73" s="16" t="s">
        <v>174</v>
      </c>
      <c r="C73" s="160">
        <v>130627</v>
      </c>
      <c r="D73" s="160" t="str">
        <f>IFERROR(VLOOKUP(ListaClientes[[#This Row],[Cliente]],Numeracao[[Cliente]:[N° OS]],2,FALSE),"")</f>
        <v/>
      </c>
      <c r="E73" s="15" t="s">
        <v>474</v>
      </c>
      <c r="F73" s="15" t="s">
        <v>475</v>
      </c>
      <c r="G73" s="15" t="s">
        <v>476</v>
      </c>
    </row>
    <row r="74" spans="1:7" x14ac:dyDescent="0.25">
      <c r="A74" s="160">
        <v>73</v>
      </c>
      <c r="B74" s="16" t="s">
        <v>175</v>
      </c>
      <c r="C74" s="160">
        <v>130633</v>
      </c>
      <c r="D74" s="160" t="str">
        <f>IFERROR(VLOOKUP(ListaClientes[[#This Row],[Cliente]],Numeracao[[Cliente]:[N° OS]],2,FALSE),"")</f>
        <v/>
      </c>
      <c r="E74" s="15" t="s">
        <v>486</v>
      </c>
      <c r="F74" s="15" t="s">
        <v>487</v>
      </c>
      <c r="G74" s="15" t="s">
        <v>488</v>
      </c>
    </row>
    <row r="75" spans="1:7" x14ac:dyDescent="0.25">
      <c r="A75" s="160">
        <v>74</v>
      </c>
      <c r="B75" s="16" t="s">
        <v>176</v>
      </c>
      <c r="C75" s="160">
        <v>130499</v>
      </c>
      <c r="D75" s="160" t="str">
        <f>IFERROR(VLOOKUP(ListaClientes[[#This Row],[Cliente]],Numeracao[[Cliente]:[N° OS]],2,FALSE),"")</f>
        <v/>
      </c>
      <c r="E75" s="15" t="s">
        <v>431</v>
      </c>
      <c r="F75" s="15" t="s">
        <v>432</v>
      </c>
      <c r="G75" s="15" t="s">
        <v>430</v>
      </c>
    </row>
    <row r="76" spans="1:7" x14ac:dyDescent="0.25">
      <c r="A76" s="160">
        <v>75</v>
      </c>
      <c r="B76" s="16" t="s">
        <v>177</v>
      </c>
      <c r="C76" s="160">
        <v>130361</v>
      </c>
      <c r="D76" s="160" t="str">
        <f>IFERROR(VLOOKUP(ListaClientes[[#This Row],[Cliente]],Numeracao[[Cliente]:[N° OS]],2,FALSE),"")</f>
        <v/>
      </c>
      <c r="E76" s="15" t="s">
        <v>379</v>
      </c>
      <c r="F76" s="15" t="s">
        <v>376</v>
      </c>
      <c r="G76" s="15" t="s">
        <v>377</v>
      </c>
    </row>
    <row r="77" spans="1:7" x14ac:dyDescent="0.25">
      <c r="A77" s="160">
        <v>76</v>
      </c>
      <c r="B77" s="16" t="s">
        <v>178</v>
      </c>
      <c r="C77" s="160">
        <v>130354</v>
      </c>
      <c r="D77" s="160" t="str">
        <f>IFERROR(VLOOKUP(ListaClientes[[#This Row],[Cliente]],Numeracao[[Cliente]:[N° OS]],2,FALSE),"")</f>
        <v/>
      </c>
      <c r="E77" s="15" t="s">
        <v>378</v>
      </c>
      <c r="F77" s="15" t="s">
        <v>376</v>
      </c>
      <c r="G77" s="15" t="s">
        <v>377</v>
      </c>
    </row>
    <row r="78" spans="1:7" x14ac:dyDescent="0.25">
      <c r="A78" s="160">
        <v>77</v>
      </c>
      <c r="B78" s="16" t="s">
        <v>179</v>
      </c>
      <c r="C78" s="160">
        <v>130640</v>
      </c>
      <c r="D78" s="160" t="str">
        <f>IFERROR(VLOOKUP(ListaClientes[[#This Row],[Cliente]],Numeracao[[Cliente]:[N° OS]],2,FALSE),"")</f>
        <v/>
      </c>
      <c r="E78" s="15" t="s">
        <v>491</v>
      </c>
      <c r="F78" s="15" t="s">
        <v>489</v>
      </c>
      <c r="G78" s="15" t="s">
        <v>490</v>
      </c>
    </row>
    <row r="79" spans="1:7" x14ac:dyDescent="0.25">
      <c r="A79" s="160">
        <v>78</v>
      </c>
      <c r="B79" s="16" t="s">
        <v>180</v>
      </c>
      <c r="C79" s="160">
        <v>130497</v>
      </c>
      <c r="D79" s="160" t="str">
        <f>IFERROR(VLOOKUP(ListaClientes[[#This Row],[Cliente]],Numeracao[[Cliente]:[N° OS]],2,FALSE),"")</f>
        <v/>
      </c>
      <c r="E79" s="15" t="s">
        <v>426</v>
      </c>
      <c r="F79" s="15"/>
      <c r="G79" s="15"/>
    </row>
    <row r="80" spans="1:7" x14ac:dyDescent="0.25">
      <c r="A80" s="160">
        <v>79</v>
      </c>
      <c r="B80" s="16" t="s">
        <v>181</v>
      </c>
      <c r="C80" s="160">
        <v>130498</v>
      </c>
      <c r="D80" s="160" t="str">
        <f>IFERROR(VLOOKUP(ListaClientes[[#This Row],[Cliente]],Numeracao[[Cliente]:[N° OS]],2,FALSE),"")</f>
        <v/>
      </c>
      <c r="E80" s="15" t="s">
        <v>427</v>
      </c>
      <c r="F80" s="15" t="s">
        <v>428</v>
      </c>
      <c r="G80" s="15" t="s">
        <v>429</v>
      </c>
    </row>
    <row r="81" spans="1:7" x14ac:dyDescent="0.25">
      <c r="A81" s="160">
        <v>80</v>
      </c>
      <c r="B81" s="16" t="s">
        <v>182</v>
      </c>
      <c r="C81" s="160">
        <v>130074</v>
      </c>
      <c r="D81" s="160" t="str">
        <f>IFERROR(VLOOKUP(ListaClientes[[#This Row],[Cliente]],Numeracao[[Cliente]:[N° OS]],2,FALSE),"")</f>
        <v/>
      </c>
      <c r="E81" s="15" t="s">
        <v>278</v>
      </c>
      <c r="F81" s="15" t="s">
        <v>279</v>
      </c>
      <c r="G81" s="15" t="s">
        <v>280</v>
      </c>
    </row>
    <row r="82" spans="1:7" x14ac:dyDescent="0.25">
      <c r="A82" s="160">
        <v>81</v>
      </c>
      <c r="B82" s="16" t="s">
        <v>183</v>
      </c>
      <c r="C82" s="160">
        <v>130653</v>
      </c>
      <c r="D82" s="160" t="str">
        <f>IFERROR(VLOOKUP(ListaClientes[[#This Row],[Cliente]],Numeracao[[Cliente]:[N° OS]],2,FALSE),"")</f>
        <v/>
      </c>
      <c r="E82" s="15" t="s">
        <v>503</v>
      </c>
      <c r="F82" s="15" t="s">
        <v>504</v>
      </c>
      <c r="G82" s="15" t="s">
        <v>473</v>
      </c>
    </row>
    <row r="83" spans="1:7" x14ac:dyDescent="0.25">
      <c r="A83" s="160">
        <v>82</v>
      </c>
      <c r="B83" s="16" t="s">
        <v>184</v>
      </c>
      <c r="C83" s="160">
        <v>130642</v>
      </c>
      <c r="D83" s="160" t="str">
        <f>IFERROR(VLOOKUP(ListaClientes[[#This Row],[Cliente]],Numeracao[[Cliente]:[N° OS]],2,FALSE),"")</f>
        <v/>
      </c>
      <c r="E83" s="15" t="s">
        <v>495</v>
      </c>
      <c r="F83" s="15" t="s">
        <v>496</v>
      </c>
      <c r="G83" s="15" t="s">
        <v>497</v>
      </c>
    </row>
    <row r="84" spans="1:7" x14ac:dyDescent="0.25">
      <c r="A84" s="160">
        <v>83</v>
      </c>
      <c r="B84" s="16" t="s">
        <v>185</v>
      </c>
      <c r="C84" s="160">
        <v>130628</v>
      </c>
      <c r="D84" s="160" t="str">
        <f>IFERROR(VLOOKUP(ListaClientes[[#This Row],[Cliente]],Numeracao[[Cliente]:[N° OS]],2,FALSE),"")</f>
        <v/>
      </c>
      <c r="E84" s="15" t="s">
        <v>477</v>
      </c>
      <c r="F84" s="15" t="s">
        <v>478</v>
      </c>
      <c r="G84" s="15" t="s">
        <v>479</v>
      </c>
    </row>
    <row r="85" spans="1:7" x14ac:dyDescent="0.25">
      <c r="A85" s="160">
        <v>84</v>
      </c>
      <c r="B85" s="16" t="s">
        <v>186</v>
      </c>
      <c r="C85" s="160">
        <v>130656</v>
      </c>
      <c r="D85" s="160" t="str">
        <f>IFERROR(VLOOKUP(ListaClientes[[#This Row],[Cliente]],Numeracao[[Cliente]:[N° OS]],2,FALSE),"")</f>
        <v/>
      </c>
      <c r="E85" s="15" t="s">
        <v>505</v>
      </c>
      <c r="F85" s="15" t="s">
        <v>506</v>
      </c>
      <c r="G85" s="15" t="s">
        <v>507</v>
      </c>
    </row>
    <row r="86" spans="1:7" x14ac:dyDescent="0.25">
      <c r="A86" s="160">
        <v>85</v>
      </c>
      <c r="B86" s="16" t="s">
        <v>187</v>
      </c>
      <c r="C86" s="160">
        <v>130674</v>
      </c>
      <c r="D86" s="160" t="str">
        <f>IFERROR(VLOOKUP(ListaClientes[[#This Row],[Cliente]],Numeracao[[Cliente]:[N° OS]],2,FALSE),"")</f>
        <v/>
      </c>
      <c r="E86" s="15" t="s">
        <v>520</v>
      </c>
      <c r="F86" s="15" t="s">
        <v>518</v>
      </c>
      <c r="G86" s="15" t="s">
        <v>519</v>
      </c>
    </row>
    <row r="87" spans="1:7" x14ac:dyDescent="0.25">
      <c r="A87" s="160">
        <v>86</v>
      </c>
      <c r="B87" s="16" t="s">
        <v>188</v>
      </c>
      <c r="C87" s="160">
        <v>130665</v>
      </c>
      <c r="D87" s="160" t="str">
        <f>IFERROR(VLOOKUP(ListaClientes[[#This Row],[Cliente]],Numeracao[[Cliente]:[N° OS]],2,FALSE),"")</f>
        <v/>
      </c>
      <c r="E87" s="15" t="s">
        <v>511</v>
      </c>
      <c r="F87" s="15" t="s">
        <v>512</v>
      </c>
      <c r="G87" s="15" t="s">
        <v>513</v>
      </c>
    </row>
    <row r="88" spans="1:7" x14ac:dyDescent="0.25">
      <c r="A88" s="160">
        <v>87</v>
      </c>
      <c r="B88" s="16" t="s">
        <v>189</v>
      </c>
      <c r="C88" s="160">
        <v>130666</v>
      </c>
      <c r="D88" s="160" t="str">
        <f>IFERROR(VLOOKUP(ListaClientes[[#This Row],[Cliente]],Numeracao[[Cliente]:[N° OS]],2,FALSE),"")</f>
        <v/>
      </c>
      <c r="E88" s="15" t="s">
        <v>514</v>
      </c>
      <c r="F88" s="15" t="s">
        <v>512</v>
      </c>
      <c r="G88" s="15" t="s">
        <v>513</v>
      </c>
    </row>
    <row r="89" spans="1:7" x14ac:dyDescent="0.25">
      <c r="A89" s="160">
        <v>88</v>
      </c>
      <c r="B89" s="16" t="s">
        <v>190</v>
      </c>
      <c r="C89" s="160">
        <v>130668</v>
      </c>
      <c r="D89" s="160" t="str">
        <f>IFERROR(VLOOKUP(ListaClientes[[#This Row],[Cliente]],Numeracao[[Cliente]:[N° OS]],2,FALSE),"")</f>
        <v/>
      </c>
      <c r="E89" s="15" t="s">
        <v>515</v>
      </c>
      <c r="F89" s="15" t="s">
        <v>516</v>
      </c>
      <c r="G89" s="15" t="s">
        <v>517</v>
      </c>
    </row>
    <row r="90" spans="1:7" x14ac:dyDescent="0.25">
      <c r="A90" s="160">
        <v>89</v>
      </c>
      <c r="B90" s="16" t="s">
        <v>191</v>
      </c>
      <c r="C90" s="160">
        <v>130271</v>
      </c>
      <c r="D90" s="160" t="str">
        <f>IFERROR(VLOOKUP(ListaClientes[[#This Row],[Cliente]],Numeracao[[Cliente]:[N° OS]],2,FALSE),"")</f>
        <v/>
      </c>
      <c r="E90" s="15" t="s">
        <v>354</v>
      </c>
      <c r="F90" s="15" t="s">
        <v>349</v>
      </c>
      <c r="G90" s="15" t="s">
        <v>350</v>
      </c>
    </row>
    <row r="91" spans="1:7" x14ac:dyDescent="0.25">
      <c r="A91" s="160">
        <v>90</v>
      </c>
      <c r="B91" s="16" t="s">
        <v>192</v>
      </c>
      <c r="C91" s="160">
        <v>130715</v>
      </c>
      <c r="D91" s="160" t="str">
        <f>IFERROR(VLOOKUP(ListaClientes[[#This Row],[Cliente]],Numeracao[[Cliente]:[N° OS]],2,FALSE),"")</f>
        <v/>
      </c>
      <c r="E91" s="15" t="s">
        <v>534</v>
      </c>
      <c r="F91" s="15" t="s">
        <v>535</v>
      </c>
      <c r="G91" s="15" t="s">
        <v>533</v>
      </c>
    </row>
    <row r="92" spans="1:7" x14ac:dyDescent="0.25">
      <c r="A92" s="160">
        <v>91</v>
      </c>
      <c r="B92" s="16" t="s">
        <v>193</v>
      </c>
      <c r="C92" s="160">
        <v>130713</v>
      </c>
      <c r="D92" s="160" t="str">
        <f>IFERROR(VLOOKUP(ListaClientes[[#This Row],[Cliente]],Numeracao[[Cliente]:[N° OS]],2,FALSE),"")</f>
        <v/>
      </c>
      <c r="E92" s="15" t="s">
        <v>529</v>
      </c>
      <c r="F92" s="15" t="s">
        <v>527</v>
      </c>
      <c r="G92" s="15" t="s">
        <v>528</v>
      </c>
    </row>
    <row r="93" spans="1:7" x14ac:dyDescent="0.25">
      <c r="A93" s="160">
        <v>92</v>
      </c>
      <c r="B93" s="16" t="s">
        <v>194</v>
      </c>
      <c r="C93" s="160">
        <v>130710</v>
      </c>
      <c r="D93" s="160" t="str">
        <f>IFERROR(VLOOKUP(ListaClientes[[#This Row],[Cliente]],Numeracao[[Cliente]:[N° OS]],2,FALSE),"")</f>
        <v/>
      </c>
      <c r="E93" s="15" t="s">
        <v>526</v>
      </c>
      <c r="F93" s="15" t="s">
        <v>524</v>
      </c>
      <c r="G93" s="15" t="s">
        <v>525</v>
      </c>
    </row>
    <row r="94" spans="1:7" x14ac:dyDescent="0.25">
      <c r="A94" s="160">
        <v>93</v>
      </c>
      <c r="B94" s="16" t="s">
        <v>195</v>
      </c>
      <c r="C94" s="160">
        <v>130677</v>
      </c>
      <c r="D94" s="160" t="str">
        <f>IFERROR(VLOOKUP(ListaClientes[[#This Row],[Cliente]],Numeracao[[Cliente]:[N° OS]],2,FALSE),"")</f>
        <v/>
      </c>
      <c r="E94" s="15" t="s">
        <v>521</v>
      </c>
      <c r="F94" s="15" t="s">
        <v>522</v>
      </c>
      <c r="G94" s="15" t="s">
        <v>523</v>
      </c>
    </row>
    <row r="95" spans="1:7" x14ac:dyDescent="0.25">
      <c r="A95" s="160">
        <v>94</v>
      </c>
      <c r="B95" s="16" t="s">
        <v>196</v>
      </c>
      <c r="C95" s="160">
        <v>130657</v>
      </c>
      <c r="D95" s="160" t="str">
        <f>IFERROR(VLOOKUP(ListaClientes[[#This Row],[Cliente]],Numeracao[[Cliente]:[N° OS]],2,FALSE),"")</f>
        <v/>
      </c>
      <c r="E95" s="15" t="s">
        <v>508</v>
      </c>
      <c r="F95" s="15" t="s">
        <v>509</v>
      </c>
      <c r="G95" s="15" t="s">
        <v>510</v>
      </c>
    </row>
    <row r="96" spans="1:7" x14ac:dyDescent="0.25">
      <c r="A96" s="160">
        <v>95</v>
      </c>
      <c r="B96" s="16" t="s">
        <v>197</v>
      </c>
      <c r="C96" s="160">
        <v>130714</v>
      </c>
      <c r="D96" s="160" t="str">
        <f>IFERROR(VLOOKUP(ListaClientes[[#This Row],[Cliente]],Numeracao[[Cliente]:[N° OS]],2,FALSE),"")</f>
        <v/>
      </c>
      <c r="E96" s="15" t="s">
        <v>532</v>
      </c>
      <c r="F96" s="15" t="s">
        <v>531</v>
      </c>
      <c r="G96" s="15" t="s">
        <v>530</v>
      </c>
    </row>
    <row r="97" spans="1:7" x14ac:dyDescent="0.25">
      <c r="A97" s="160">
        <v>96</v>
      </c>
      <c r="B97" s="16" t="s">
        <v>198</v>
      </c>
      <c r="C97" s="160">
        <v>130439</v>
      </c>
      <c r="D97" s="160" t="str">
        <f>IFERROR(VLOOKUP(ListaClientes[[#This Row],[Cliente]],Numeracao[[Cliente]:[N° OS]],2,FALSE),"")</f>
        <v/>
      </c>
      <c r="E97" s="15" t="s">
        <v>404</v>
      </c>
      <c r="F97" s="15" t="s">
        <v>403</v>
      </c>
      <c r="G97" s="15" t="s">
        <v>402</v>
      </c>
    </row>
    <row r="98" spans="1:7" x14ac:dyDescent="0.25">
      <c r="A98" s="160">
        <v>97</v>
      </c>
      <c r="B98" s="16" t="s">
        <v>199</v>
      </c>
      <c r="C98" s="160">
        <v>130079</v>
      </c>
      <c r="D98" s="160" t="str">
        <f>IFERROR(VLOOKUP(ListaClientes[[#This Row],[Cliente]],Numeracao[[Cliente]:[N° OS]],2,FALSE),"")</f>
        <v/>
      </c>
      <c r="E98" s="15" t="s">
        <v>281</v>
      </c>
      <c r="F98" s="15" t="s">
        <v>282</v>
      </c>
      <c r="G98" s="15" t="s">
        <v>283</v>
      </c>
    </row>
    <row r="99" spans="1:7" x14ac:dyDescent="0.25">
      <c r="A99" s="160">
        <v>98</v>
      </c>
      <c r="B99" s="16" t="s">
        <v>200</v>
      </c>
      <c r="C99" s="160">
        <v>130729</v>
      </c>
      <c r="D99" s="160" t="str">
        <f>IFERROR(VLOOKUP(ListaClientes[[#This Row],[Cliente]],Numeracao[[Cliente]:[N° OS]],2,FALSE),"")</f>
        <v/>
      </c>
      <c r="E99" s="15" t="s">
        <v>538</v>
      </c>
      <c r="F99" s="15" t="s">
        <v>537</v>
      </c>
      <c r="G99" s="15" t="s">
        <v>536</v>
      </c>
    </row>
    <row r="100" spans="1:7" x14ac:dyDescent="0.25">
      <c r="A100" s="160">
        <v>99</v>
      </c>
      <c r="B100" s="16" t="s">
        <v>201</v>
      </c>
      <c r="C100" s="160">
        <v>130763</v>
      </c>
      <c r="D100" s="160" t="str">
        <f>IFERROR(VLOOKUP(ListaClientes[[#This Row],[Cliente]],Numeracao[[Cliente]:[N° OS]],2,FALSE),"")</f>
        <v/>
      </c>
      <c r="E100" s="15" t="s">
        <v>545</v>
      </c>
      <c r="F100" s="15" t="s">
        <v>546</v>
      </c>
      <c r="G100" s="15" t="s">
        <v>547</v>
      </c>
    </row>
    <row r="101" spans="1:7" x14ac:dyDescent="0.25">
      <c r="A101" s="160">
        <v>100</v>
      </c>
      <c r="B101" s="16" t="s">
        <v>202</v>
      </c>
      <c r="C101" s="160">
        <v>130760</v>
      </c>
      <c r="D101" s="160" t="str">
        <f>IFERROR(VLOOKUP(ListaClientes[[#This Row],[Cliente]],Numeracao[[Cliente]:[N° OS]],2,FALSE),"")</f>
        <v/>
      </c>
      <c r="E101" s="15" t="s">
        <v>544</v>
      </c>
      <c r="F101" s="15" t="s">
        <v>541</v>
      </c>
      <c r="G101" s="15" t="s">
        <v>542</v>
      </c>
    </row>
    <row r="102" spans="1:7" x14ac:dyDescent="0.25">
      <c r="A102" s="160">
        <v>101</v>
      </c>
      <c r="B102" s="16" t="s">
        <v>203</v>
      </c>
      <c r="C102" s="160">
        <v>130754</v>
      </c>
      <c r="D102" s="160" t="str">
        <f>IFERROR(VLOOKUP(ListaClientes[[#This Row],[Cliente]],Numeracao[[Cliente]:[N° OS]],2,FALSE),"")</f>
        <v/>
      </c>
      <c r="E102" s="15" t="s">
        <v>543</v>
      </c>
      <c r="F102" s="15" t="s">
        <v>539</v>
      </c>
      <c r="G102" s="15" t="s">
        <v>540</v>
      </c>
    </row>
    <row r="103" spans="1:7" x14ac:dyDescent="0.25">
      <c r="A103" s="160">
        <v>102</v>
      </c>
      <c r="B103" s="16" t="s">
        <v>204</v>
      </c>
      <c r="C103" s="160">
        <v>130244</v>
      </c>
      <c r="D103" s="160" t="str">
        <f>IFERROR(VLOOKUP(ListaClientes[[#This Row],[Cliente]],Numeracao[[Cliente]:[N° OS]],2,FALSE),"")</f>
        <v/>
      </c>
      <c r="E103" s="15" t="s">
        <v>343</v>
      </c>
      <c r="F103" s="15" t="s">
        <v>344</v>
      </c>
      <c r="G103" s="15" t="s">
        <v>345</v>
      </c>
    </row>
    <row r="104" spans="1:7" x14ac:dyDescent="0.25">
      <c r="A104" s="160">
        <v>103</v>
      </c>
      <c r="B104" s="16" t="s">
        <v>205</v>
      </c>
      <c r="C104" s="160">
        <v>130778</v>
      </c>
      <c r="D104" s="160" t="str">
        <f>IFERROR(VLOOKUP(ListaClientes[[#This Row],[Cliente]],Numeracao[[Cliente]:[N° OS]],2,FALSE),"")</f>
        <v/>
      </c>
      <c r="E104" s="15" t="s">
        <v>548</v>
      </c>
      <c r="F104" s="15" t="s">
        <v>549</v>
      </c>
      <c r="G104" s="15" t="s">
        <v>550</v>
      </c>
    </row>
    <row r="105" spans="1:7" x14ac:dyDescent="0.25">
      <c r="A105" s="160">
        <v>104</v>
      </c>
      <c r="B105" s="16" t="s">
        <v>206</v>
      </c>
      <c r="C105" s="160">
        <v>130483</v>
      </c>
      <c r="D105" s="160" t="str">
        <f>IFERROR(VLOOKUP(ListaClientes[[#This Row],[Cliente]],Numeracao[[Cliente]:[N° OS]],2,FALSE),"")</f>
        <v/>
      </c>
      <c r="E105" s="15" t="s">
        <v>423</v>
      </c>
      <c r="F105" s="15" t="s">
        <v>424</v>
      </c>
      <c r="G105" s="15" t="s">
        <v>425</v>
      </c>
    </row>
    <row r="106" spans="1:7" x14ac:dyDescent="0.25">
      <c r="A106" s="160">
        <v>105</v>
      </c>
      <c r="B106" s="16" t="s">
        <v>207</v>
      </c>
      <c r="C106" s="160">
        <v>130644</v>
      </c>
      <c r="D106" s="160" t="str">
        <f>IFERROR(VLOOKUP(ListaClientes[[#This Row],[Cliente]],Numeracao[[Cliente]:[N° OS]],2,FALSE),"")</f>
        <v/>
      </c>
      <c r="E106" s="15" t="s">
        <v>501</v>
      </c>
      <c r="F106" s="15" t="s">
        <v>499</v>
      </c>
      <c r="G106" s="15" t="s">
        <v>502</v>
      </c>
    </row>
    <row r="107" spans="1:7" x14ac:dyDescent="0.25">
      <c r="A107" s="160">
        <v>106</v>
      </c>
      <c r="B107" s="16" t="s">
        <v>208</v>
      </c>
      <c r="C107" s="160">
        <v>130643</v>
      </c>
      <c r="D107" s="160" t="str">
        <f>IFERROR(VLOOKUP(ListaClientes[[#This Row],[Cliente]],Numeracao[[Cliente]:[N° OS]],2,FALSE),"")</f>
        <v/>
      </c>
      <c r="E107" s="15" t="s">
        <v>498</v>
      </c>
      <c r="F107" s="15" t="s">
        <v>499</v>
      </c>
      <c r="G107" s="15" t="s">
        <v>500</v>
      </c>
    </row>
    <row r="108" spans="1:7" x14ac:dyDescent="0.25">
      <c r="A108" s="160">
        <v>107</v>
      </c>
      <c r="B108" s="16" t="s">
        <v>209</v>
      </c>
      <c r="C108" s="160">
        <v>130785</v>
      </c>
      <c r="D108" s="160" t="str">
        <f>IFERROR(VLOOKUP(ListaClientes[[#This Row],[Cliente]],Numeracao[[Cliente]:[N° OS]],2,FALSE),"")</f>
        <v/>
      </c>
      <c r="E108" s="15" t="s">
        <v>553</v>
      </c>
      <c r="F108" s="15" t="s">
        <v>551</v>
      </c>
      <c r="G108" s="15" t="s">
        <v>552</v>
      </c>
    </row>
    <row r="109" spans="1:7" x14ac:dyDescent="0.25">
      <c r="A109" s="160">
        <v>108</v>
      </c>
      <c r="B109" s="16" t="s">
        <v>210</v>
      </c>
      <c r="C109" s="160">
        <v>130790</v>
      </c>
      <c r="D109" s="160" t="str">
        <f>IFERROR(VLOOKUP(ListaClientes[[#This Row],[Cliente]],Numeracao[[Cliente]:[N° OS]],2,FALSE),"")</f>
        <v/>
      </c>
      <c r="E109" s="15" t="s">
        <v>565</v>
      </c>
      <c r="F109" s="15" t="s">
        <v>554</v>
      </c>
      <c r="G109" s="15" t="s">
        <v>555</v>
      </c>
    </row>
    <row r="110" spans="1:7" x14ac:dyDescent="0.25">
      <c r="A110" s="160">
        <v>109</v>
      </c>
      <c r="B110" s="16" t="s">
        <v>211</v>
      </c>
      <c r="C110" s="160">
        <v>130792</v>
      </c>
      <c r="D110" s="160" t="str">
        <f>IFERROR(VLOOKUP(ListaClientes[[#This Row],[Cliente]],Numeracao[[Cliente]:[N° OS]],2,FALSE),"")</f>
        <v/>
      </c>
      <c r="E110" s="15" t="s">
        <v>556</v>
      </c>
      <c r="F110" s="15" t="s">
        <v>557</v>
      </c>
      <c r="G110" s="15" t="s">
        <v>436</v>
      </c>
    </row>
    <row r="111" spans="1:7" x14ac:dyDescent="0.25">
      <c r="A111" s="160">
        <v>110</v>
      </c>
      <c r="B111" s="16" t="s">
        <v>212</v>
      </c>
      <c r="C111" s="160">
        <v>130459</v>
      </c>
      <c r="D111" s="160" t="str">
        <f>IFERROR(VLOOKUP(ListaClientes[[#This Row],[Cliente]],Numeracao[[Cliente]:[N° OS]],2,FALSE),"")</f>
        <v/>
      </c>
      <c r="E111" s="15" t="s">
        <v>413</v>
      </c>
      <c r="F111" s="15" t="s">
        <v>412</v>
      </c>
      <c r="G111" s="15" t="s">
        <v>411</v>
      </c>
    </row>
    <row r="112" spans="1:7" x14ac:dyDescent="0.25">
      <c r="A112" s="160">
        <v>111</v>
      </c>
      <c r="B112" s="16" t="s">
        <v>213</v>
      </c>
      <c r="C112" s="160">
        <v>130791</v>
      </c>
      <c r="D112" s="160">
        <f>IFERROR(VLOOKUP(ListaClientes[[#This Row],[Cliente]],Numeracao[[Cliente]:[N° OS]],2,FALSE),"")</f>
        <v>5</v>
      </c>
      <c r="E112" s="15" t="s">
        <v>563</v>
      </c>
      <c r="F112" s="15" t="s">
        <v>566</v>
      </c>
      <c r="G112" s="15" t="s">
        <v>570</v>
      </c>
    </row>
    <row r="113" spans="1:7" x14ac:dyDescent="0.25">
      <c r="A113" s="160">
        <v>112</v>
      </c>
      <c r="B113" s="16" t="s">
        <v>214</v>
      </c>
      <c r="C113" s="160">
        <v>130807</v>
      </c>
      <c r="D113" s="160">
        <f>IFERROR(VLOOKUP(ListaClientes[[#This Row],[Cliente]],Numeracao[[Cliente]:[N° OS]],2,FALSE),"")</f>
        <v>7</v>
      </c>
      <c r="E113" s="15" t="s">
        <v>571</v>
      </c>
      <c r="F113" s="15" t="s">
        <v>572</v>
      </c>
      <c r="G113" s="15" t="s">
        <v>573</v>
      </c>
    </row>
    <row r="114" spans="1:7" x14ac:dyDescent="0.25">
      <c r="A114" s="160">
        <v>113</v>
      </c>
      <c r="B114" s="16" t="s">
        <v>215</v>
      </c>
      <c r="C114" s="160">
        <v>130799</v>
      </c>
      <c r="D114" s="160">
        <f>IFERROR(VLOOKUP(ListaClientes[[#This Row],[Cliente]],Numeracao[[Cliente]:[N° OS]],2,FALSE),"")</f>
        <v>6</v>
      </c>
      <c r="E114" s="15" t="s">
        <v>567</v>
      </c>
      <c r="F114" s="15" t="s">
        <v>568</v>
      </c>
      <c r="G114" s="15" t="s">
        <v>569</v>
      </c>
    </row>
    <row r="115" spans="1:7" x14ac:dyDescent="0.25">
      <c r="A115" s="160">
        <v>114</v>
      </c>
      <c r="B115" s="16" t="s">
        <v>585</v>
      </c>
      <c r="C115" s="160">
        <v>130812</v>
      </c>
      <c r="D115" s="160">
        <f>IFERROR(VLOOKUP(ListaClientes[[#This Row],[Cliente]],Numeracao[[Cliente]:[N° OS]],2,FALSE),"")</f>
        <v>9</v>
      </c>
      <c r="E115" s="15" t="s">
        <v>559</v>
      </c>
      <c r="F115" s="15" t="s">
        <v>560</v>
      </c>
      <c r="G115" s="15" t="s">
        <v>558</v>
      </c>
    </row>
    <row r="116" spans="1:7" x14ac:dyDescent="0.25">
      <c r="A116" s="160">
        <v>115</v>
      </c>
      <c r="B116" s="16" t="s">
        <v>584</v>
      </c>
      <c r="C116" s="160">
        <v>130229</v>
      </c>
      <c r="D116" s="160">
        <f>IFERROR(VLOOKUP(ListaClientes[[#This Row],[Cliente]],Numeracao[[Cliente]:[N° OS]],2,FALSE),"")</f>
        <v>1</v>
      </c>
      <c r="E116" s="15" t="s">
        <v>247</v>
      </c>
      <c r="F116" s="15" t="s">
        <v>243</v>
      </c>
      <c r="G116" s="15" t="s">
        <v>335</v>
      </c>
    </row>
    <row r="117" spans="1:7" x14ac:dyDescent="0.25">
      <c r="A117" s="160">
        <v>116</v>
      </c>
      <c r="B117" s="16" t="s">
        <v>216</v>
      </c>
      <c r="C117" s="160">
        <v>130822</v>
      </c>
      <c r="D117" s="160">
        <f>IFERROR(VLOOKUP(ListaClientes[[#This Row],[Cliente]],Numeracao[[Cliente]:[N° OS]],2,FALSE),"")</f>
        <v>13</v>
      </c>
      <c r="E117" s="15" t="s">
        <v>246</v>
      </c>
      <c r="F117" s="15" t="s">
        <v>242</v>
      </c>
      <c r="G117" s="15" t="s">
        <v>311</v>
      </c>
    </row>
    <row r="118" spans="1:7" x14ac:dyDescent="0.25">
      <c r="A118" s="160">
        <v>117</v>
      </c>
      <c r="B118" s="16" t="s">
        <v>217</v>
      </c>
      <c r="C118" s="160">
        <v>130817</v>
      </c>
      <c r="D118" s="160">
        <f>IFERROR(VLOOKUP(ListaClientes[[#This Row],[Cliente]],Numeracao[[Cliente]:[N° OS]],2,FALSE),"")</f>
        <v>10</v>
      </c>
      <c r="E118" s="15" t="s">
        <v>245</v>
      </c>
      <c r="F118" s="15" t="s">
        <v>242</v>
      </c>
      <c r="G118" s="15" t="s">
        <v>311</v>
      </c>
    </row>
    <row r="119" spans="1:7" x14ac:dyDescent="0.25">
      <c r="A119" s="160">
        <v>118</v>
      </c>
      <c r="B119" s="16" t="s">
        <v>218</v>
      </c>
      <c r="C119" s="160">
        <v>130171</v>
      </c>
      <c r="D119" s="160">
        <f>IFERROR(VLOOKUP(ListaClientes[[#This Row],[Cliente]],Numeracao[[Cliente]:[N° OS]],2,FALSE),"")</f>
        <v>2</v>
      </c>
      <c r="E119" s="15" t="s">
        <v>244</v>
      </c>
      <c r="F119" s="15" t="s">
        <v>242</v>
      </c>
      <c r="G119" s="15" t="s">
        <v>311</v>
      </c>
    </row>
    <row r="120" spans="1:7" x14ac:dyDescent="0.25">
      <c r="A120" s="160">
        <v>119</v>
      </c>
      <c r="B120" s="16" t="s">
        <v>219</v>
      </c>
      <c r="C120" s="160">
        <v>130808</v>
      </c>
      <c r="D120" s="160">
        <f>IFERROR(VLOOKUP(ListaClientes[[#This Row],[Cliente]],Numeracao[[Cliente]:[N° OS]],2,FALSE),"")</f>
        <v>8</v>
      </c>
      <c r="E120" s="15" t="s">
        <v>237</v>
      </c>
      <c r="F120" s="15" t="s">
        <v>236</v>
      </c>
      <c r="G120" s="15" t="s">
        <v>574</v>
      </c>
    </row>
    <row r="121" spans="1:7" x14ac:dyDescent="0.25">
      <c r="A121" s="160">
        <v>120</v>
      </c>
      <c r="B121" s="16" t="s">
        <v>220</v>
      </c>
      <c r="C121" s="160">
        <v>130819</v>
      </c>
      <c r="D121" s="160">
        <f>IFERROR(VLOOKUP(ListaClientes[[#This Row],[Cliente]],Numeracao[[Cliente]:[N° OS]],2,FALSE),"")</f>
        <v>11</v>
      </c>
      <c r="E121" s="15" t="s">
        <v>238</v>
      </c>
      <c r="F121" s="15" t="s">
        <v>235</v>
      </c>
      <c r="G121" s="15" t="s">
        <v>575</v>
      </c>
    </row>
    <row r="122" spans="1:7" x14ac:dyDescent="0.25">
      <c r="A122" s="160">
        <v>121</v>
      </c>
      <c r="B122" s="16" t="s">
        <v>221</v>
      </c>
      <c r="C122" s="160">
        <v>130831</v>
      </c>
      <c r="D122" s="160">
        <f>IFERROR(VLOOKUP(ListaClientes[[#This Row],[Cliente]],Numeracao[[Cliente]:[N° OS]],2,FALSE),"")</f>
        <v>14</v>
      </c>
      <c r="E122" s="15" t="s">
        <v>239</v>
      </c>
      <c r="F122" s="15" t="s">
        <v>232</v>
      </c>
      <c r="G122" s="15" t="s">
        <v>576</v>
      </c>
    </row>
    <row r="123" spans="1:7" x14ac:dyDescent="0.25">
      <c r="A123" s="160">
        <v>122</v>
      </c>
      <c r="B123" s="16" t="s">
        <v>583</v>
      </c>
      <c r="C123" s="160">
        <v>130418</v>
      </c>
      <c r="D123" s="160">
        <f>IFERROR(VLOOKUP(ListaClientes[[#This Row],[Cliente]],Numeracao[[Cliente]:[N° OS]],2,FALSE),"")</f>
        <v>3</v>
      </c>
      <c r="E123" s="15" t="s">
        <v>240</v>
      </c>
      <c r="F123" s="15" t="s">
        <v>231</v>
      </c>
      <c r="G123" s="15" t="s">
        <v>398</v>
      </c>
    </row>
    <row r="124" spans="1:7" x14ac:dyDescent="0.25">
      <c r="A124" s="160">
        <v>123</v>
      </c>
      <c r="B124" s="16" t="s">
        <v>222</v>
      </c>
      <c r="C124" s="160">
        <v>130834</v>
      </c>
      <c r="D124" s="160">
        <f>IFERROR(VLOOKUP(ListaClientes[[#This Row],[Cliente]],Numeracao[[Cliente]:[N° OS]],2,FALSE),"")</f>
        <v>15</v>
      </c>
      <c r="E124" s="15" t="s">
        <v>230</v>
      </c>
      <c r="F124" s="15" t="s">
        <v>233</v>
      </c>
      <c r="G124" s="15" t="s">
        <v>577</v>
      </c>
    </row>
    <row r="125" spans="1:7" x14ac:dyDescent="0.25">
      <c r="A125" s="160">
        <v>124</v>
      </c>
      <c r="B125" s="16" t="s">
        <v>223</v>
      </c>
      <c r="C125" s="160">
        <v>130857</v>
      </c>
      <c r="D125" s="160">
        <f>IFERROR(VLOOKUP(ListaClientes[[#This Row],[Cliente]],Numeracao[[Cliente]:[N° OS]],2,FALSE),"")</f>
        <v>16</v>
      </c>
      <c r="E125" s="15" t="s">
        <v>241</v>
      </c>
      <c r="F125" s="15" t="s">
        <v>234</v>
      </c>
      <c r="G125" s="15" t="s">
        <v>578</v>
      </c>
    </row>
    <row r="126" spans="1:7" x14ac:dyDescent="0.25">
      <c r="A126" s="160">
        <v>125</v>
      </c>
      <c r="B126" s="16" t="s">
        <v>224</v>
      </c>
      <c r="C126" s="160">
        <v>130738</v>
      </c>
      <c r="D126" s="160" t="str">
        <f>IFERROR(VLOOKUP(ListaClientes[[#This Row],[Cliente]],Numeracao[[Cliente]:[N° OS]],2,FALSE),"")</f>
        <v/>
      </c>
      <c r="E126" s="15" t="s">
        <v>564</v>
      </c>
      <c r="F126" s="15" t="s">
        <v>561</v>
      </c>
      <c r="G126" s="15" t="s">
        <v>562</v>
      </c>
    </row>
    <row r="127" spans="1:7" x14ac:dyDescent="0.25">
      <c r="A127" s="160">
        <v>126</v>
      </c>
      <c r="B127" s="16" t="s">
        <v>225</v>
      </c>
      <c r="C127" s="160">
        <v>130851</v>
      </c>
      <c r="D127" s="160" t="str">
        <f>IFERROR(VLOOKUP(ListaClientes[[#This Row],[Cliente]],Numeracao[[Cliente]:[N° OS]],2,FALSE),"")</f>
        <v/>
      </c>
      <c r="E127" s="15" t="s">
        <v>579</v>
      </c>
      <c r="F127" s="15" t="s">
        <v>581</v>
      </c>
      <c r="G127" s="15" t="s">
        <v>580</v>
      </c>
    </row>
    <row r="128" spans="1:7" x14ac:dyDescent="0.25">
      <c r="A128" s="160">
        <v>127</v>
      </c>
      <c r="B128" s="16" t="s">
        <v>226</v>
      </c>
      <c r="C128" s="160">
        <v>130864</v>
      </c>
      <c r="D128" s="160" t="str">
        <f>IFERROR(VLOOKUP(ListaClientes[[#This Row],[Cliente]],Numeracao[[Cliente]:[N° OS]],2,FALSE),"")</f>
        <v/>
      </c>
      <c r="E128" s="15" t="s">
        <v>579</v>
      </c>
      <c r="F128" s="15" t="s">
        <v>581</v>
      </c>
      <c r="G128" s="15" t="s">
        <v>580</v>
      </c>
    </row>
    <row r="129" spans="1:7" x14ac:dyDescent="0.25">
      <c r="A129" s="162">
        <v>128</v>
      </c>
      <c r="B129" s="164" t="s">
        <v>591</v>
      </c>
      <c r="C129" s="165">
        <v>130867</v>
      </c>
      <c r="D129" s="160" t="str">
        <f>IFERROR(VLOOKUP(ListaClientes[[#This Row],[Cliente]],Numeracao[[Cliente]:[N° OS]],2,FALSE),"")</f>
        <v/>
      </c>
      <c r="E129" s="15" t="s">
        <v>593</v>
      </c>
      <c r="F129" s="15" t="s">
        <v>582</v>
      </c>
      <c r="G129" s="15" t="s">
        <v>594</v>
      </c>
    </row>
    <row r="130" spans="1:7" x14ac:dyDescent="0.25">
      <c r="A130" s="162">
        <v>129</v>
      </c>
      <c r="B130" s="170" t="s">
        <v>592</v>
      </c>
      <c r="C130" s="163">
        <v>130683</v>
      </c>
      <c r="D130" s="171" t="str">
        <f>IFERROR(VLOOKUP(ListaClientes[[#This Row],[Cliente]],Numeracao[[Cliente]:[N° OS]],2,FALSE),"")</f>
        <v/>
      </c>
      <c r="E130" s="15"/>
      <c r="F130" s="15"/>
      <c r="G130" s="15"/>
    </row>
  </sheetData>
  <hyperlinks>
    <hyperlink ref="G17" r:id="rId1" xr:uid="{679B554E-48A9-498E-B6CD-55DEC60E176D}"/>
    <hyperlink ref="G40" r:id="rId2" xr:uid="{A0896703-ADF3-4B22-98E5-358F9567746A}"/>
    <hyperlink ref="G68" r:id="rId3" xr:uid="{3AEF2B8A-1F31-4601-B5E5-EE60DFB3F210}"/>
    <hyperlink ref="G72" r:id="rId4" xr:uid="{740C26E9-F01A-4F09-9BAA-47D5F79BD0A1}"/>
    <hyperlink ref="G109" r:id="rId5" xr:uid="{9018D00A-D925-47CB-8206-4E8D0AC93D98}"/>
    <hyperlink ref="G112" r:id="rId6" xr:uid="{0268CC99-97B3-4397-9B19-AB674E7DDF89}"/>
  </hyperlinks>
  <pageMargins left="0.511811024" right="0.511811024" top="0.78740157499999996" bottom="0.78740157499999996" header="0.31496062000000002" footer="0.31496062000000002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1CEE-6208-473C-9C1D-49582963A682}">
  <sheetPr codeName="Planilha2"/>
  <dimension ref="A1:C17"/>
  <sheetViews>
    <sheetView workbookViewId="0">
      <selection activeCell="C17" sqref="C17"/>
    </sheetView>
  </sheetViews>
  <sheetFormatPr defaultRowHeight="15" x14ac:dyDescent="0.25"/>
  <cols>
    <col min="1" max="1" width="32.28515625" bestFit="1" customWidth="1"/>
    <col min="2" max="2" width="10.5703125" bestFit="1" customWidth="1"/>
    <col min="3" max="3" width="10.7109375" bestFit="1" customWidth="1"/>
  </cols>
  <sheetData>
    <row r="1" spans="1:3" x14ac:dyDescent="0.25">
      <c r="A1" s="21" t="s">
        <v>90</v>
      </c>
      <c r="B1" s="20" t="s">
        <v>229</v>
      </c>
      <c r="C1" s="22" t="s">
        <v>587</v>
      </c>
    </row>
    <row r="2" spans="1:3" x14ac:dyDescent="0.25">
      <c r="A2" s="18" t="s">
        <v>584</v>
      </c>
      <c r="B2" s="17">
        <v>1</v>
      </c>
      <c r="C2" s="23">
        <v>44055</v>
      </c>
    </row>
    <row r="3" spans="1:3" x14ac:dyDescent="0.25">
      <c r="A3" s="16" t="s">
        <v>218</v>
      </c>
      <c r="B3" s="17">
        <v>2</v>
      </c>
      <c r="C3" s="23">
        <v>44055</v>
      </c>
    </row>
    <row r="4" spans="1:3" x14ac:dyDescent="0.25">
      <c r="A4" s="16" t="s">
        <v>583</v>
      </c>
      <c r="B4" s="17">
        <v>3</v>
      </c>
      <c r="C4" s="23">
        <v>44055</v>
      </c>
    </row>
    <row r="5" spans="1:3" x14ac:dyDescent="0.25">
      <c r="A5" s="16" t="s">
        <v>165</v>
      </c>
      <c r="B5" s="17">
        <v>4</v>
      </c>
      <c r="C5" s="23">
        <v>44055</v>
      </c>
    </row>
    <row r="6" spans="1:3" x14ac:dyDescent="0.25">
      <c r="A6" s="16" t="s">
        <v>213</v>
      </c>
      <c r="B6" s="17">
        <v>5</v>
      </c>
      <c r="C6" s="23">
        <v>44055</v>
      </c>
    </row>
    <row r="7" spans="1:3" x14ac:dyDescent="0.25">
      <c r="A7" s="16" t="s">
        <v>215</v>
      </c>
      <c r="B7" s="17">
        <v>6</v>
      </c>
      <c r="C7" s="23">
        <v>44055</v>
      </c>
    </row>
    <row r="8" spans="1:3" x14ac:dyDescent="0.25">
      <c r="A8" s="16" t="s">
        <v>214</v>
      </c>
      <c r="B8" s="17">
        <v>7</v>
      </c>
      <c r="C8" s="23">
        <v>44055</v>
      </c>
    </row>
    <row r="9" spans="1:3" x14ac:dyDescent="0.25">
      <c r="A9" s="16" t="s">
        <v>219</v>
      </c>
      <c r="B9" s="17">
        <v>8</v>
      </c>
      <c r="C9" s="23">
        <v>44055</v>
      </c>
    </row>
    <row r="10" spans="1:3" x14ac:dyDescent="0.25">
      <c r="A10" s="16" t="s">
        <v>585</v>
      </c>
      <c r="B10" s="17">
        <v>9</v>
      </c>
      <c r="C10" s="23">
        <v>44055</v>
      </c>
    </row>
    <row r="11" spans="1:3" x14ac:dyDescent="0.25">
      <c r="A11" s="16" t="s">
        <v>217</v>
      </c>
      <c r="B11" s="17">
        <v>10</v>
      </c>
      <c r="C11" s="23">
        <v>44055</v>
      </c>
    </row>
    <row r="12" spans="1:3" x14ac:dyDescent="0.25">
      <c r="A12" s="16" t="s">
        <v>220</v>
      </c>
      <c r="B12" s="17">
        <v>11</v>
      </c>
      <c r="C12" s="23">
        <v>44055</v>
      </c>
    </row>
    <row r="13" spans="1:3" x14ac:dyDescent="0.25">
      <c r="A13" s="18" t="s">
        <v>586</v>
      </c>
      <c r="B13" s="17">
        <v>12</v>
      </c>
      <c r="C13" s="23">
        <v>44055</v>
      </c>
    </row>
    <row r="14" spans="1:3" x14ac:dyDescent="0.25">
      <c r="A14" s="16" t="s">
        <v>216</v>
      </c>
      <c r="B14" s="17">
        <v>13</v>
      </c>
      <c r="C14" s="23">
        <v>44055</v>
      </c>
    </row>
    <row r="15" spans="1:3" x14ac:dyDescent="0.25">
      <c r="A15" s="16" t="s">
        <v>221</v>
      </c>
      <c r="B15" s="17">
        <v>14</v>
      </c>
      <c r="C15" s="23">
        <v>44055</v>
      </c>
    </row>
    <row r="16" spans="1:3" x14ac:dyDescent="0.25">
      <c r="A16" s="19" t="s">
        <v>222</v>
      </c>
      <c r="B16" s="17">
        <v>15</v>
      </c>
      <c r="C16" s="23">
        <v>44055</v>
      </c>
    </row>
    <row r="17" spans="1:3" x14ac:dyDescent="0.25">
      <c r="A17" t="s">
        <v>223</v>
      </c>
      <c r="B17" s="24">
        <v>16</v>
      </c>
      <c r="C17" s="23">
        <v>44055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J49"/>
  <sheetViews>
    <sheetView view="pageLayout" topLeftCell="A28" zoomScaleNormal="100" workbookViewId="0">
      <selection activeCell="C3" sqref="C3:J3"/>
    </sheetView>
  </sheetViews>
  <sheetFormatPr defaultRowHeight="15" x14ac:dyDescent="0.25"/>
  <cols>
    <col min="1" max="2" width="9.140625" customWidth="1"/>
    <col min="4" max="5" width="12.42578125" customWidth="1"/>
    <col min="6" max="6" width="18.85546875" customWidth="1"/>
    <col min="7" max="7" width="12.85546875" customWidth="1"/>
    <col min="8" max="10" width="4.5703125" customWidth="1"/>
  </cols>
  <sheetData>
    <row r="1" spans="1:10" ht="20.25" x14ac:dyDescent="0.25">
      <c r="A1" s="67"/>
      <c r="B1" s="68"/>
      <c r="C1" s="48" t="s">
        <v>0</v>
      </c>
      <c r="D1" s="49"/>
      <c r="E1" s="49"/>
      <c r="F1" s="49"/>
      <c r="G1" s="49"/>
      <c r="H1" s="49"/>
      <c r="I1" s="49"/>
      <c r="J1" s="50"/>
    </row>
    <row r="2" spans="1:10" x14ac:dyDescent="0.25">
      <c r="A2" s="69"/>
      <c r="B2" s="70"/>
      <c r="C2" s="51" t="s">
        <v>1</v>
      </c>
      <c r="D2" s="52"/>
      <c r="E2" s="52"/>
      <c r="F2" s="52"/>
      <c r="G2" s="52"/>
      <c r="H2" s="52"/>
      <c r="I2" s="52"/>
      <c r="J2" s="53"/>
    </row>
    <row r="3" spans="1:10" ht="15.75" thickBot="1" x14ac:dyDescent="0.3">
      <c r="A3" s="71"/>
      <c r="B3" s="72"/>
      <c r="C3" s="54" t="s">
        <v>2</v>
      </c>
      <c r="D3" s="55"/>
      <c r="E3" s="55"/>
      <c r="F3" s="55"/>
      <c r="G3" s="55"/>
      <c r="H3" s="55"/>
      <c r="I3" s="55"/>
      <c r="J3" s="56"/>
    </row>
    <row r="4" spans="1:10" ht="28.5" customHeight="1" x14ac:dyDescent="0.25">
      <c r="A4" s="78" t="s">
        <v>48</v>
      </c>
      <c r="B4" s="79"/>
      <c r="C4" s="80"/>
      <c r="D4" s="169" t="str">
        <f>IFERROR(VLOOKUP(C5,'Lista Clientes'!B1:G130,4,FALSE),"")</f>
        <v/>
      </c>
      <c r="E4" s="79"/>
      <c r="F4" s="79"/>
      <c r="G4" s="25" t="s">
        <v>589</v>
      </c>
      <c r="H4" s="166" t="str">
        <f>IFERROR(VLOOKUP(C5,'Lista Clientes'!B1:G130,5,FALSE),"")</f>
        <v/>
      </c>
      <c r="I4" s="87"/>
      <c r="J4" s="88"/>
    </row>
    <row r="5" spans="1:10" ht="15" customHeight="1" x14ac:dyDescent="0.25">
      <c r="A5" s="82" t="s">
        <v>91</v>
      </c>
      <c r="B5" s="77"/>
      <c r="C5" s="75"/>
      <c r="D5" s="76"/>
      <c r="E5" s="76"/>
      <c r="F5" s="77"/>
      <c r="G5" s="2" t="s">
        <v>49</v>
      </c>
      <c r="H5" s="168" t="str">
        <f>IFERROR(VLOOKUP(C5,'Lista Clientes'!B1:G130,2,FALSE),"")</f>
        <v/>
      </c>
      <c r="I5" s="76"/>
      <c r="J5" s="81"/>
    </row>
    <row r="6" spans="1:10" x14ac:dyDescent="0.25">
      <c r="A6" s="73" t="s">
        <v>588</v>
      </c>
      <c r="B6" s="74"/>
      <c r="C6" s="74"/>
      <c r="D6" s="74"/>
      <c r="E6" s="74"/>
      <c r="F6" s="74"/>
      <c r="G6" s="2" t="s">
        <v>50</v>
      </c>
      <c r="H6" s="75"/>
      <c r="I6" s="76"/>
      <c r="J6" s="81"/>
    </row>
    <row r="7" spans="1:10" ht="15" customHeight="1" x14ac:dyDescent="0.25">
      <c r="A7" s="61" t="s">
        <v>3</v>
      </c>
      <c r="B7" s="62"/>
      <c r="C7" s="62"/>
      <c r="D7" s="57" t="s">
        <v>4</v>
      </c>
      <c r="E7" s="58"/>
      <c r="F7" s="65" t="s">
        <v>5</v>
      </c>
      <c r="G7" s="57" t="s">
        <v>6</v>
      </c>
      <c r="H7" s="83"/>
      <c r="I7" s="83"/>
      <c r="J7" s="84"/>
    </row>
    <row r="8" spans="1:10" ht="13.5" customHeight="1" thickBot="1" x14ac:dyDescent="0.3">
      <c r="A8" s="63"/>
      <c r="B8" s="64"/>
      <c r="C8" s="64"/>
      <c r="D8" s="59"/>
      <c r="E8" s="60"/>
      <c r="F8" s="66"/>
      <c r="G8" s="59"/>
      <c r="H8" s="85"/>
      <c r="I8" s="85"/>
      <c r="J8" s="86"/>
    </row>
    <row r="9" spans="1:10" ht="11.25" customHeight="1" x14ac:dyDescent="0.25">
      <c r="A9" s="35" t="s">
        <v>7</v>
      </c>
      <c r="B9" s="36"/>
      <c r="C9" s="36"/>
      <c r="D9" s="36"/>
      <c r="E9" s="36"/>
      <c r="F9" s="36"/>
      <c r="G9" s="36"/>
      <c r="H9" s="36"/>
      <c r="I9" s="36"/>
      <c r="J9" s="37"/>
    </row>
    <row r="10" spans="1:10" x14ac:dyDescent="0.25">
      <c r="A10" s="105" t="s">
        <v>38</v>
      </c>
      <c r="B10" s="106"/>
      <c r="C10" s="106"/>
      <c r="D10" s="106"/>
      <c r="E10" s="106"/>
      <c r="F10" s="106"/>
      <c r="G10" s="106"/>
      <c r="H10" s="106"/>
      <c r="I10" s="106"/>
      <c r="J10" s="107"/>
    </row>
    <row r="11" spans="1:10" ht="15" customHeight="1" thickBot="1" x14ac:dyDescent="0.3">
      <c r="A11" s="102" t="s">
        <v>8</v>
      </c>
      <c r="B11" s="103"/>
      <c r="C11" s="103"/>
      <c r="D11" s="103"/>
      <c r="E11" s="103"/>
      <c r="F11" s="103"/>
      <c r="G11" s="103"/>
      <c r="H11" s="103"/>
      <c r="I11" s="103"/>
      <c r="J11" s="104"/>
    </row>
    <row r="12" spans="1:10" ht="12.75" customHeight="1" thickBot="1" x14ac:dyDescent="0.3">
      <c r="A12" s="42" t="s">
        <v>9</v>
      </c>
      <c r="B12" s="43"/>
      <c r="C12" s="43"/>
      <c r="D12" s="43"/>
      <c r="E12" s="43"/>
      <c r="F12" s="43"/>
      <c r="G12" s="43"/>
      <c r="H12" s="43"/>
      <c r="I12" s="43"/>
      <c r="J12" s="44"/>
    </row>
    <row r="13" spans="1:10" ht="12" customHeight="1" thickBot="1" x14ac:dyDescent="0.3">
      <c r="A13" s="110" t="s">
        <v>10</v>
      </c>
      <c r="B13" s="111"/>
      <c r="C13" s="111"/>
      <c r="D13" s="111"/>
      <c r="E13" s="112"/>
      <c r="F13" s="110" t="s">
        <v>10</v>
      </c>
      <c r="G13" s="111"/>
      <c r="H13" s="111"/>
      <c r="I13" s="111"/>
      <c r="J13" s="112"/>
    </row>
    <row r="14" spans="1:10" ht="12.75" customHeight="1" x14ac:dyDescent="0.25">
      <c r="A14" s="89"/>
      <c r="B14" s="90"/>
      <c r="C14" s="90"/>
      <c r="D14" s="90"/>
      <c r="E14" s="91"/>
      <c r="F14" s="89"/>
      <c r="G14" s="90"/>
      <c r="H14" s="90"/>
      <c r="I14" s="90"/>
      <c r="J14" s="91"/>
    </row>
    <row r="15" spans="1:10" ht="12.75" customHeight="1" x14ac:dyDescent="0.25">
      <c r="A15" s="92"/>
      <c r="B15" s="93"/>
      <c r="C15" s="93"/>
      <c r="D15" s="93"/>
      <c r="E15" s="94"/>
      <c r="F15" s="92"/>
      <c r="G15" s="93"/>
      <c r="H15" s="93"/>
      <c r="I15" s="93"/>
      <c r="J15" s="94"/>
    </row>
    <row r="16" spans="1:10" ht="12.75" customHeight="1" thickBot="1" x14ac:dyDescent="0.3">
      <c r="A16" s="95"/>
      <c r="B16" s="96"/>
      <c r="C16" s="96"/>
      <c r="D16" s="96"/>
      <c r="E16" s="97"/>
      <c r="F16" s="95"/>
      <c r="G16" s="96"/>
      <c r="H16" s="96"/>
      <c r="I16" s="96"/>
      <c r="J16" s="97"/>
    </row>
    <row r="17" spans="1:10" ht="12" customHeight="1" thickBot="1" x14ac:dyDescent="0.3">
      <c r="A17" s="98" t="s">
        <v>11</v>
      </c>
      <c r="B17" s="98"/>
      <c r="C17" s="98"/>
      <c r="D17" s="98"/>
      <c r="E17" s="98"/>
      <c r="F17" s="98"/>
      <c r="G17" s="98"/>
      <c r="H17" s="98"/>
      <c r="I17" s="98"/>
      <c r="J17" s="98"/>
    </row>
    <row r="18" spans="1:10" ht="13.5" customHeight="1" thickBot="1" x14ac:dyDescent="0.3">
      <c r="A18" s="99" t="s">
        <v>10</v>
      </c>
      <c r="B18" s="100"/>
      <c r="C18" s="100"/>
      <c r="D18" s="100"/>
      <c r="E18" s="101"/>
      <c r="F18" s="99" t="s">
        <v>12</v>
      </c>
      <c r="G18" s="100"/>
      <c r="H18" s="100"/>
      <c r="I18" s="100"/>
      <c r="J18" s="101"/>
    </row>
    <row r="19" spans="1:10" ht="14.25" customHeight="1" thickBot="1" x14ac:dyDescent="0.3">
      <c r="A19" s="42"/>
      <c r="B19" s="43"/>
      <c r="C19" s="43"/>
      <c r="D19" s="43"/>
      <c r="E19" s="44"/>
      <c r="F19" s="42"/>
      <c r="G19" s="43"/>
      <c r="H19" s="43"/>
      <c r="I19" s="43"/>
      <c r="J19" s="44"/>
    </row>
    <row r="20" spans="1:10" ht="16.5" customHeight="1" x14ac:dyDescent="0.25">
      <c r="A20" s="108" t="s">
        <v>13</v>
      </c>
      <c r="B20" s="109"/>
      <c r="C20" s="109"/>
      <c r="D20" s="109"/>
      <c r="E20" s="109"/>
      <c r="F20" s="109"/>
      <c r="G20" s="109"/>
      <c r="H20" s="5" t="s">
        <v>14</v>
      </c>
      <c r="I20" s="5" t="s">
        <v>15</v>
      </c>
      <c r="J20" s="6" t="s">
        <v>16</v>
      </c>
    </row>
    <row r="21" spans="1:10" x14ac:dyDescent="0.25">
      <c r="A21" s="38" t="s">
        <v>17</v>
      </c>
      <c r="B21" s="39"/>
      <c r="C21" s="39"/>
      <c r="D21" s="39"/>
      <c r="E21" s="39"/>
      <c r="F21" s="39"/>
      <c r="G21" s="39"/>
      <c r="H21" s="3"/>
      <c r="I21" s="3"/>
      <c r="J21" s="7"/>
    </row>
    <row r="22" spans="1:10" x14ac:dyDescent="0.25">
      <c r="A22" s="38" t="s">
        <v>18</v>
      </c>
      <c r="B22" s="39"/>
      <c r="C22" s="39"/>
      <c r="D22" s="39"/>
      <c r="E22" s="39"/>
      <c r="F22" s="39"/>
      <c r="G22" s="39"/>
      <c r="H22" s="3"/>
      <c r="I22" s="3"/>
      <c r="J22" s="7"/>
    </row>
    <row r="23" spans="1:10" x14ac:dyDescent="0.25">
      <c r="A23" s="38" t="s">
        <v>19</v>
      </c>
      <c r="B23" s="39"/>
      <c r="C23" s="39"/>
      <c r="D23" s="39"/>
      <c r="E23" s="39"/>
      <c r="F23" s="39"/>
      <c r="G23" s="39"/>
      <c r="H23" s="4"/>
      <c r="I23" s="4"/>
      <c r="J23" s="8"/>
    </row>
    <row r="24" spans="1:10" ht="39.75" customHeight="1" x14ac:dyDescent="0.25">
      <c r="A24" s="38" t="s">
        <v>20</v>
      </c>
      <c r="B24" s="39"/>
      <c r="C24" s="39"/>
      <c r="D24" s="39"/>
      <c r="E24" s="39"/>
      <c r="F24" s="39"/>
      <c r="G24" s="39"/>
      <c r="H24" s="4"/>
      <c r="I24" s="4"/>
      <c r="J24" s="8"/>
    </row>
    <row r="25" spans="1:10" x14ac:dyDescent="0.25">
      <c r="A25" s="38" t="s">
        <v>21</v>
      </c>
      <c r="B25" s="39"/>
      <c r="C25" s="39"/>
      <c r="D25" s="39"/>
      <c r="E25" s="39"/>
      <c r="F25" s="39"/>
      <c r="G25" s="39"/>
      <c r="H25" s="4"/>
      <c r="I25" s="4"/>
      <c r="J25" s="8"/>
    </row>
    <row r="26" spans="1:10" x14ac:dyDescent="0.25">
      <c r="A26" s="38" t="s">
        <v>22</v>
      </c>
      <c r="B26" s="39"/>
      <c r="C26" s="39"/>
      <c r="D26" s="39"/>
      <c r="E26" s="39"/>
      <c r="F26" s="39"/>
      <c r="G26" s="39"/>
      <c r="H26" s="4"/>
      <c r="I26" s="4"/>
      <c r="J26" s="8"/>
    </row>
    <row r="27" spans="1:10" x14ac:dyDescent="0.25">
      <c r="A27" s="38" t="s">
        <v>23</v>
      </c>
      <c r="B27" s="39"/>
      <c r="C27" s="39"/>
      <c r="D27" s="39"/>
      <c r="E27" s="39"/>
      <c r="F27" s="39"/>
      <c r="G27" s="39"/>
      <c r="H27" s="4"/>
      <c r="I27" s="4"/>
      <c r="J27" s="8"/>
    </row>
    <row r="28" spans="1:10" x14ac:dyDescent="0.25">
      <c r="A28" s="38" t="s">
        <v>24</v>
      </c>
      <c r="B28" s="39"/>
      <c r="C28" s="39"/>
      <c r="D28" s="39"/>
      <c r="E28" s="39"/>
      <c r="F28" s="39"/>
      <c r="G28" s="39"/>
      <c r="H28" s="4"/>
      <c r="I28" s="4"/>
      <c r="J28" s="8"/>
    </row>
    <row r="29" spans="1:10" x14ac:dyDescent="0.25">
      <c r="A29" s="38" t="s">
        <v>25</v>
      </c>
      <c r="B29" s="39"/>
      <c r="C29" s="39"/>
      <c r="D29" s="39"/>
      <c r="E29" s="39"/>
      <c r="F29" s="39"/>
      <c r="G29" s="39"/>
      <c r="H29" s="4"/>
      <c r="I29" s="4"/>
      <c r="J29" s="8"/>
    </row>
    <row r="30" spans="1:10" x14ac:dyDescent="0.25">
      <c r="A30" s="38" t="s">
        <v>26</v>
      </c>
      <c r="B30" s="39"/>
      <c r="C30" s="39"/>
      <c r="D30" s="39"/>
      <c r="E30" s="39"/>
      <c r="F30" s="39"/>
      <c r="G30" s="39"/>
      <c r="H30" s="4"/>
      <c r="I30" s="4"/>
      <c r="J30" s="8"/>
    </row>
    <row r="31" spans="1:10" x14ac:dyDescent="0.25">
      <c r="A31" s="38" t="s">
        <v>27</v>
      </c>
      <c r="B31" s="39"/>
      <c r="C31" s="39"/>
      <c r="D31" s="39"/>
      <c r="E31" s="39"/>
      <c r="F31" s="39"/>
      <c r="G31" s="39"/>
      <c r="H31" s="4"/>
      <c r="I31" s="4"/>
      <c r="J31" s="8"/>
    </row>
    <row r="32" spans="1:10" x14ac:dyDescent="0.25">
      <c r="A32" s="38" t="s">
        <v>28</v>
      </c>
      <c r="B32" s="39"/>
      <c r="C32" s="39"/>
      <c r="D32" s="39"/>
      <c r="E32" s="39"/>
      <c r="F32" s="39"/>
      <c r="G32" s="39"/>
      <c r="H32" s="4"/>
      <c r="I32" s="4"/>
      <c r="J32" s="8"/>
    </row>
    <row r="33" spans="1:10" x14ac:dyDescent="0.25">
      <c r="A33" s="38" t="s">
        <v>29</v>
      </c>
      <c r="B33" s="39"/>
      <c r="C33" s="39"/>
      <c r="D33" s="39"/>
      <c r="E33" s="39"/>
      <c r="F33" s="39"/>
      <c r="G33" s="39"/>
      <c r="H33" s="4"/>
      <c r="I33" s="4"/>
      <c r="J33" s="8"/>
    </row>
    <row r="34" spans="1:10" x14ac:dyDescent="0.25">
      <c r="A34" s="38" t="s">
        <v>30</v>
      </c>
      <c r="B34" s="39"/>
      <c r="C34" s="39"/>
      <c r="D34" s="39"/>
      <c r="E34" s="39"/>
      <c r="F34" s="39"/>
      <c r="G34" s="39"/>
      <c r="H34" s="4"/>
      <c r="I34" s="4"/>
      <c r="J34" s="8"/>
    </row>
    <row r="35" spans="1:10" x14ac:dyDescent="0.25">
      <c r="A35" s="38" t="s">
        <v>31</v>
      </c>
      <c r="B35" s="39"/>
      <c r="C35" s="39"/>
      <c r="D35" s="39"/>
      <c r="E35" s="39"/>
      <c r="F35" s="39"/>
      <c r="G35" s="39"/>
      <c r="H35" s="4"/>
      <c r="I35" s="4"/>
      <c r="J35" s="8"/>
    </row>
    <row r="36" spans="1:10" x14ac:dyDescent="0.25">
      <c r="A36" s="38" t="s">
        <v>32</v>
      </c>
      <c r="B36" s="39"/>
      <c r="C36" s="39"/>
      <c r="D36" s="39"/>
      <c r="E36" s="39"/>
      <c r="F36" s="39"/>
      <c r="G36" s="39"/>
      <c r="H36" s="4"/>
      <c r="I36" s="4"/>
      <c r="J36" s="8"/>
    </row>
    <row r="37" spans="1:10" x14ac:dyDescent="0.25">
      <c r="A37" s="38" t="s">
        <v>33</v>
      </c>
      <c r="B37" s="39"/>
      <c r="C37" s="39"/>
      <c r="D37" s="39"/>
      <c r="E37" s="39"/>
      <c r="F37" s="39"/>
      <c r="G37" s="39"/>
      <c r="H37" s="4"/>
      <c r="I37" s="4"/>
      <c r="J37" s="8"/>
    </row>
    <row r="38" spans="1:10" ht="15.75" thickBot="1" x14ac:dyDescent="0.3">
      <c r="A38" s="40" t="s">
        <v>34</v>
      </c>
      <c r="B38" s="41"/>
      <c r="C38" s="41"/>
      <c r="D38" s="41"/>
      <c r="E38" s="41"/>
      <c r="F38" s="41"/>
      <c r="G38" s="41"/>
      <c r="H38" s="9"/>
      <c r="I38" s="9"/>
      <c r="J38" s="10"/>
    </row>
    <row r="39" spans="1:10" ht="15" customHeight="1" thickBot="1" x14ac:dyDescent="0.3">
      <c r="A39" s="42" t="s">
        <v>35</v>
      </c>
      <c r="B39" s="43"/>
      <c r="C39" s="43"/>
      <c r="D39" s="43"/>
      <c r="E39" s="43"/>
      <c r="F39" s="43"/>
      <c r="G39" s="43"/>
      <c r="H39" s="43"/>
      <c r="I39" s="43"/>
      <c r="J39" s="44"/>
    </row>
    <row r="40" spans="1:10" ht="12.75" customHeight="1" thickBot="1" x14ac:dyDescent="0.3">
      <c r="A40" s="45" t="s">
        <v>36</v>
      </c>
      <c r="B40" s="46"/>
      <c r="C40" s="46"/>
      <c r="D40" s="46"/>
      <c r="E40" s="47"/>
      <c r="F40" s="45" t="s">
        <v>37</v>
      </c>
      <c r="G40" s="46"/>
      <c r="H40" s="46"/>
      <c r="I40" s="46"/>
      <c r="J40" s="47"/>
    </row>
    <row r="41" spans="1:10" x14ac:dyDescent="0.25">
      <c r="A41" s="35" t="s">
        <v>39</v>
      </c>
      <c r="B41" s="36"/>
      <c r="C41" s="36"/>
      <c r="D41" s="36"/>
      <c r="E41" s="36"/>
      <c r="F41" s="36"/>
      <c r="G41" s="36"/>
      <c r="H41" s="36"/>
      <c r="I41" s="36"/>
      <c r="J41" s="37"/>
    </row>
    <row r="42" spans="1:10" ht="18.75" customHeight="1" x14ac:dyDescent="0.25">
      <c r="A42" s="29" t="s">
        <v>40</v>
      </c>
      <c r="B42" s="30"/>
      <c r="C42" s="30"/>
      <c r="D42" s="30"/>
      <c r="E42" s="30"/>
      <c r="F42" s="30"/>
      <c r="G42" s="30"/>
      <c r="H42" s="30"/>
      <c r="I42" s="30"/>
      <c r="J42" s="31"/>
    </row>
    <row r="43" spans="1:10" ht="10.5" customHeight="1" x14ac:dyDescent="0.25">
      <c r="A43" s="29" t="s">
        <v>41</v>
      </c>
      <c r="B43" s="30"/>
      <c r="C43" s="30"/>
      <c r="D43" s="30"/>
      <c r="E43" s="30"/>
      <c r="F43" s="30"/>
      <c r="G43" s="30"/>
      <c r="H43" s="30"/>
      <c r="I43" s="30"/>
      <c r="J43" s="31"/>
    </row>
    <row r="44" spans="1:10" ht="10.5" customHeight="1" x14ac:dyDescent="0.25">
      <c r="A44" s="29" t="s">
        <v>42</v>
      </c>
      <c r="B44" s="30"/>
      <c r="C44" s="30"/>
      <c r="D44" s="30"/>
      <c r="E44" s="30"/>
      <c r="F44" s="30"/>
      <c r="G44" s="30"/>
      <c r="H44" s="30"/>
      <c r="I44" s="30"/>
      <c r="J44" s="31"/>
    </row>
    <row r="45" spans="1:10" ht="10.5" customHeight="1" x14ac:dyDescent="0.25">
      <c r="A45" s="29" t="s">
        <v>43</v>
      </c>
      <c r="B45" s="30"/>
      <c r="C45" s="30"/>
      <c r="D45" s="30"/>
      <c r="E45" s="30"/>
      <c r="F45" s="30"/>
      <c r="G45" s="30"/>
      <c r="H45" s="30"/>
      <c r="I45" s="30"/>
      <c r="J45" s="31"/>
    </row>
    <row r="46" spans="1:10" ht="18" customHeight="1" x14ac:dyDescent="0.25">
      <c r="A46" s="29" t="s">
        <v>44</v>
      </c>
      <c r="B46" s="30"/>
      <c r="C46" s="30"/>
      <c r="D46" s="30"/>
      <c r="E46" s="30"/>
      <c r="F46" s="30"/>
      <c r="G46" s="30"/>
      <c r="H46" s="30"/>
      <c r="I46" s="30"/>
      <c r="J46" s="31"/>
    </row>
    <row r="47" spans="1:10" ht="10.5" customHeight="1" x14ac:dyDescent="0.25">
      <c r="A47" s="32" t="s">
        <v>45</v>
      </c>
      <c r="B47" s="33"/>
      <c r="C47" s="33"/>
      <c r="D47" s="33"/>
      <c r="E47" s="33"/>
      <c r="F47" s="33"/>
      <c r="G47" s="33"/>
      <c r="H47" s="33"/>
      <c r="I47" s="33"/>
      <c r="J47" s="34"/>
    </row>
    <row r="48" spans="1:10" ht="26.25" customHeight="1" thickBot="1" x14ac:dyDescent="0.3">
      <c r="A48" s="28" t="s">
        <v>46</v>
      </c>
      <c r="B48" s="26"/>
      <c r="C48" s="26"/>
      <c r="D48" s="26"/>
      <c r="E48" s="26"/>
      <c r="F48" s="26" t="s">
        <v>47</v>
      </c>
      <c r="G48" s="26"/>
      <c r="H48" s="26"/>
      <c r="I48" s="26"/>
      <c r="J48" s="27"/>
    </row>
    <row r="49" spans="1:1" x14ac:dyDescent="0.25">
      <c r="A49" s="11"/>
    </row>
  </sheetData>
  <mergeCells count="64">
    <mergeCell ref="A9:J9"/>
    <mergeCell ref="A11:J11"/>
    <mergeCell ref="A10:J10"/>
    <mergeCell ref="A20:G20"/>
    <mergeCell ref="A21:G21"/>
    <mergeCell ref="A12:J12"/>
    <mergeCell ref="A13:E13"/>
    <mergeCell ref="F13:J13"/>
    <mergeCell ref="A22:G22"/>
    <mergeCell ref="A23:G23"/>
    <mergeCell ref="A14:E14"/>
    <mergeCell ref="A15:E15"/>
    <mergeCell ref="A16:E16"/>
    <mergeCell ref="F14:J14"/>
    <mergeCell ref="F15:J15"/>
    <mergeCell ref="F16:J16"/>
    <mergeCell ref="A19:E19"/>
    <mergeCell ref="F19:J19"/>
    <mergeCell ref="A17:J17"/>
    <mergeCell ref="F18:J18"/>
    <mergeCell ref="A18:E18"/>
    <mergeCell ref="A31:G31"/>
    <mergeCell ref="A32:G32"/>
    <mergeCell ref="A33:G33"/>
    <mergeCell ref="A35:G35"/>
    <mergeCell ref="A30:G30"/>
    <mergeCell ref="C1:J1"/>
    <mergeCell ref="C2:J2"/>
    <mergeCell ref="C3:J3"/>
    <mergeCell ref="D7:E8"/>
    <mergeCell ref="A7:C8"/>
    <mergeCell ref="F7:F8"/>
    <mergeCell ref="A1:B3"/>
    <mergeCell ref="A6:F6"/>
    <mergeCell ref="C5:F5"/>
    <mergeCell ref="A4:C4"/>
    <mergeCell ref="H5:J5"/>
    <mergeCell ref="H6:J6"/>
    <mergeCell ref="A5:B5"/>
    <mergeCell ref="D4:F4"/>
    <mergeCell ref="G7:J8"/>
    <mergeCell ref="H4:J4"/>
    <mergeCell ref="A24:G24"/>
    <mergeCell ref="A25:G25"/>
    <mergeCell ref="A26:G26"/>
    <mergeCell ref="A27:G27"/>
    <mergeCell ref="A29:G29"/>
    <mergeCell ref="A28:G28"/>
    <mergeCell ref="A41:J41"/>
    <mergeCell ref="A34:G34"/>
    <mergeCell ref="A36:G36"/>
    <mergeCell ref="A37:G37"/>
    <mergeCell ref="A38:G38"/>
    <mergeCell ref="A39:J39"/>
    <mergeCell ref="F40:J40"/>
    <mergeCell ref="A40:E40"/>
    <mergeCell ref="F48:J48"/>
    <mergeCell ref="A48:E48"/>
    <mergeCell ref="A42:J42"/>
    <mergeCell ref="A43:J43"/>
    <mergeCell ref="A44:J44"/>
    <mergeCell ref="A45:J45"/>
    <mergeCell ref="A46:J46"/>
    <mergeCell ref="A47:J47"/>
  </mergeCells>
  <pageMargins left="0.23622047244094491" right="0.23622047244094491" top="0.55118110236220474" bottom="1.1417322834645669" header="0.31496062992125984" footer="0.31496062992125984"/>
  <pageSetup paperSize="9" orientation="portrait" horizontalDpi="360" verticalDpi="360" r:id="rId1"/>
  <headerFooter>
    <oddFooter>&amp;C&amp;8MARLON ROGER COLOVINI – ME
CNPJ: 28.623.299/0001-50
contato@energens.com.br | www.energens.com.br
Rua Sete de Setembro n° 130 – Santo Ângelo/RS
(55) 3314 0038 | (55) 9.9942 7709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BCE92-DCA2-4E0C-8846-F50FCE679D10}">
  <sheetPr codeName="Planilha4"/>
  <dimension ref="A1:J49"/>
  <sheetViews>
    <sheetView view="pageLayout" zoomScaleNormal="98" workbookViewId="0">
      <selection activeCell="D4" sqref="D4:J4"/>
    </sheetView>
  </sheetViews>
  <sheetFormatPr defaultRowHeight="15" x14ac:dyDescent="0.25"/>
  <cols>
    <col min="1" max="1" width="12.140625" customWidth="1"/>
    <col min="2" max="2" width="9.140625" customWidth="1"/>
    <col min="4" max="4" width="11.140625" customWidth="1"/>
    <col min="7" max="7" width="10.28515625" customWidth="1"/>
  </cols>
  <sheetData>
    <row r="1" spans="1:10" ht="13.5" customHeight="1" x14ac:dyDescent="0.25">
      <c r="A1" s="149" t="s">
        <v>51</v>
      </c>
      <c r="B1" s="144"/>
      <c r="C1" s="144"/>
      <c r="D1" s="144" t="s">
        <v>91</v>
      </c>
      <c r="E1" s="144"/>
      <c r="F1" s="144"/>
      <c r="G1" s="147"/>
      <c r="H1" s="147"/>
      <c r="I1" s="147"/>
      <c r="J1" s="148"/>
    </row>
    <row r="2" spans="1:10" ht="13.5" customHeight="1" x14ac:dyDescent="0.25">
      <c r="A2" s="150"/>
      <c r="B2" s="145"/>
      <c r="C2" s="145"/>
      <c r="D2" s="145" t="s">
        <v>92</v>
      </c>
      <c r="E2" s="145"/>
      <c r="F2" s="145"/>
      <c r="G2" s="167" t="str">
        <f>IFERROR(VLOOKUP(G1,'Lista Clientes'!B1:G130,2,FALSE),"")</f>
        <v/>
      </c>
      <c r="H2" s="137"/>
      <c r="I2" s="137"/>
      <c r="J2" s="138"/>
    </row>
    <row r="3" spans="1:10" ht="13.5" customHeight="1" x14ac:dyDescent="0.25">
      <c r="A3" s="150"/>
      <c r="B3" s="145"/>
      <c r="C3" s="145"/>
      <c r="D3" s="146" t="s">
        <v>93</v>
      </c>
      <c r="E3" s="146"/>
      <c r="F3" s="146"/>
      <c r="G3" s="137"/>
      <c r="H3" s="137"/>
      <c r="I3" s="137"/>
      <c r="J3" s="138"/>
    </row>
    <row r="4" spans="1:10" x14ac:dyDescent="0.25">
      <c r="A4" s="142" t="s">
        <v>48</v>
      </c>
      <c r="B4" s="143"/>
      <c r="C4" s="143"/>
      <c r="D4" s="167" t="str">
        <f>IFERROR(VLOOKUP(G1,'Lista Clientes'!B1:G130,4,FALSE),"")</f>
        <v/>
      </c>
      <c r="E4" s="137"/>
      <c r="F4" s="137"/>
      <c r="G4" s="137"/>
      <c r="H4" s="137"/>
      <c r="I4" s="137"/>
      <c r="J4" s="138"/>
    </row>
    <row r="5" spans="1:10" ht="15.75" thickBot="1" x14ac:dyDescent="0.3">
      <c r="A5" s="139" t="s">
        <v>52</v>
      </c>
      <c r="B5" s="140"/>
      <c r="C5" s="140"/>
      <c r="D5" s="140"/>
      <c r="E5" s="140" t="s">
        <v>53</v>
      </c>
      <c r="F5" s="140"/>
      <c r="G5" s="140"/>
      <c r="H5" s="140"/>
      <c r="I5" s="140"/>
      <c r="J5" s="141"/>
    </row>
    <row r="6" spans="1:10" ht="15.75" thickBot="1" x14ac:dyDescent="0.3">
      <c r="A6" s="125" t="s">
        <v>54</v>
      </c>
      <c r="B6" s="125"/>
      <c r="C6" s="125"/>
      <c r="D6" s="125"/>
      <c r="E6" s="125"/>
      <c r="F6" s="125"/>
      <c r="G6" s="125"/>
      <c r="H6" s="125"/>
      <c r="I6" s="125"/>
      <c r="J6" s="125"/>
    </row>
    <row r="7" spans="1:10" x14ac:dyDescent="0.25">
      <c r="A7" s="122" t="s">
        <v>55</v>
      </c>
      <c r="B7" s="123"/>
      <c r="C7" s="123"/>
      <c r="D7" s="123"/>
      <c r="E7" s="123"/>
      <c r="F7" s="123"/>
      <c r="G7" s="123"/>
      <c r="H7" s="123"/>
      <c r="I7" s="123"/>
      <c r="J7" s="124"/>
    </row>
    <row r="8" spans="1:10" x14ac:dyDescent="0.25">
      <c r="A8" s="117" t="s">
        <v>56</v>
      </c>
      <c r="B8" s="115"/>
      <c r="C8" s="115"/>
      <c r="D8" s="115"/>
      <c r="E8" s="115"/>
      <c r="F8" s="115"/>
      <c r="G8" s="115"/>
      <c r="H8" s="115"/>
      <c r="I8" s="115"/>
      <c r="J8" s="116"/>
    </row>
    <row r="9" spans="1:10" x14ac:dyDescent="0.25">
      <c r="A9" s="117" t="s">
        <v>57</v>
      </c>
      <c r="B9" s="115"/>
      <c r="C9" s="115"/>
      <c r="D9" s="115"/>
      <c r="E9" s="115"/>
      <c r="F9" s="115"/>
      <c r="G9" s="115"/>
      <c r="H9" s="115"/>
      <c r="I9" s="115"/>
      <c r="J9" s="116"/>
    </row>
    <row r="10" spans="1:10" x14ac:dyDescent="0.25">
      <c r="A10" s="117" t="s">
        <v>58</v>
      </c>
      <c r="B10" s="115"/>
      <c r="C10" s="115"/>
      <c r="D10" s="115"/>
      <c r="E10" s="115"/>
      <c r="F10" s="115"/>
      <c r="G10" s="115"/>
      <c r="H10" s="115"/>
      <c r="I10" s="115"/>
      <c r="J10" s="116"/>
    </row>
    <row r="11" spans="1:10" ht="15.75" thickBot="1" x14ac:dyDescent="0.3">
      <c r="A11" s="118" t="s">
        <v>59</v>
      </c>
      <c r="B11" s="119"/>
      <c r="C11" s="119"/>
      <c r="D11" s="119"/>
      <c r="E11" s="119"/>
      <c r="F11" s="119"/>
      <c r="G11" s="119"/>
      <c r="H11" s="119"/>
      <c r="I11" s="119"/>
      <c r="J11" s="120"/>
    </row>
    <row r="12" spans="1:10" ht="15.75" thickBot="1" x14ac:dyDescent="0.3">
      <c r="A12" s="136" t="s">
        <v>60</v>
      </c>
      <c r="B12" s="136"/>
      <c r="C12" s="136"/>
      <c r="D12" s="136"/>
      <c r="E12" s="136"/>
      <c r="F12" s="136"/>
      <c r="G12" s="136"/>
      <c r="H12" s="136"/>
      <c r="I12" s="136"/>
      <c r="J12" s="136"/>
    </row>
    <row r="13" spans="1:10" x14ac:dyDescent="0.25">
      <c r="A13" s="122" t="s">
        <v>61</v>
      </c>
      <c r="B13" s="123"/>
      <c r="C13" s="123"/>
      <c r="D13" s="123"/>
      <c r="E13" s="123"/>
      <c r="F13" s="123"/>
      <c r="G13" s="123"/>
      <c r="H13" s="123"/>
      <c r="I13" s="123"/>
      <c r="J13" s="124"/>
    </row>
    <row r="14" spans="1:10" x14ac:dyDescent="0.25">
      <c r="A14" s="117" t="s">
        <v>62</v>
      </c>
      <c r="B14" s="115"/>
      <c r="C14" s="115"/>
      <c r="D14" s="115"/>
      <c r="E14" s="115"/>
      <c r="F14" s="115"/>
      <c r="G14" s="115"/>
      <c r="H14" s="115"/>
      <c r="I14" s="115"/>
      <c r="J14" s="116"/>
    </row>
    <row r="15" spans="1:10" x14ac:dyDescent="0.25">
      <c r="A15" s="117" t="s">
        <v>63</v>
      </c>
      <c r="B15" s="115"/>
      <c r="C15" s="115"/>
      <c r="D15" s="115"/>
      <c r="E15" s="115"/>
      <c r="F15" s="115"/>
      <c r="G15" s="115"/>
      <c r="H15" s="115"/>
      <c r="I15" s="115"/>
      <c r="J15" s="116"/>
    </row>
    <row r="16" spans="1:10" x14ac:dyDescent="0.25">
      <c r="A16" s="117" t="s">
        <v>64</v>
      </c>
      <c r="B16" s="115"/>
      <c r="C16" s="115"/>
      <c r="D16" s="115"/>
      <c r="E16" s="115"/>
      <c r="F16" s="115"/>
      <c r="G16" s="115"/>
      <c r="H16" s="115"/>
      <c r="I16" s="115"/>
      <c r="J16" s="116"/>
    </row>
    <row r="17" spans="1:10" x14ac:dyDescent="0.25">
      <c r="A17" s="117" t="s">
        <v>65</v>
      </c>
      <c r="B17" s="115"/>
      <c r="C17" s="115"/>
      <c r="D17" s="115"/>
      <c r="E17" s="115"/>
      <c r="F17" s="115"/>
      <c r="G17" s="115"/>
      <c r="H17" s="115"/>
      <c r="I17" s="115"/>
      <c r="J17" s="116"/>
    </row>
    <row r="18" spans="1:10" ht="15.75" thickBot="1" x14ac:dyDescent="0.3">
      <c r="A18" s="118" t="s">
        <v>66</v>
      </c>
      <c r="B18" s="119"/>
      <c r="C18" s="119"/>
      <c r="D18" s="119"/>
      <c r="E18" s="119"/>
      <c r="F18" s="119"/>
      <c r="G18" s="119"/>
      <c r="H18" s="119"/>
      <c r="I18" s="119"/>
      <c r="J18" s="120"/>
    </row>
    <row r="19" spans="1:10" ht="15.75" thickBot="1" x14ac:dyDescent="0.3">
      <c r="A19" s="136" t="s">
        <v>67</v>
      </c>
      <c r="B19" s="136"/>
      <c r="C19" s="136"/>
      <c r="D19" s="136"/>
      <c r="E19" s="136"/>
      <c r="F19" s="136"/>
      <c r="G19" s="136"/>
      <c r="H19" s="136"/>
      <c r="I19" s="136"/>
      <c r="J19" s="136"/>
    </row>
    <row r="20" spans="1:10" ht="10.5" customHeight="1" x14ac:dyDescent="0.25">
      <c r="A20" s="157" t="s">
        <v>68</v>
      </c>
      <c r="B20" s="158"/>
      <c r="C20" s="158"/>
      <c r="D20" s="158"/>
      <c r="E20" s="158"/>
      <c r="F20" s="158"/>
      <c r="G20" s="158"/>
      <c r="H20" s="158"/>
      <c r="I20" s="158"/>
      <c r="J20" s="159"/>
    </row>
    <row r="21" spans="1:10" ht="10.5" customHeight="1" x14ac:dyDescent="0.25">
      <c r="A21" s="154" t="s">
        <v>69</v>
      </c>
      <c r="B21" s="155"/>
      <c r="C21" s="155"/>
      <c r="D21" s="155"/>
      <c r="E21" s="155"/>
      <c r="F21" s="155"/>
      <c r="G21" s="155"/>
      <c r="H21" s="155"/>
      <c r="I21" s="155"/>
      <c r="J21" s="156"/>
    </row>
    <row r="22" spans="1:10" ht="10.5" customHeight="1" x14ac:dyDescent="0.25">
      <c r="A22" s="154" t="s">
        <v>70</v>
      </c>
      <c r="B22" s="155"/>
      <c r="C22" s="155"/>
      <c r="D22" s="155"/>
      <c r="E22" s="155"/>
      <c r="F22" s="155"/>
      <c r="G22" s="155"/>
      <c r="H22" s="155"/>
      <c r="I22" s="155"/>
      <c r="J22" s="156"/>
    </row>
    <row r="23" spans="1:10" ht="10.5" customHeight="1" x14ac:dyDescent="0.25">
      <c r="A23" s="154" t="s">
        <v>71</v>
      </c>
      <c r="B23" s="155"/>
      <c r="C23" s="155"/>
      <c r="D23" s="155"/>
      <c r="E23" s="155"/>
      <c r="F23" s="155"/>
      <c r="G23" s="155"/>
      <c r="H23" s="155"/>
      <c r="I23" s="155"/>
      <c r="J23" s="156"/>
    </row>
    <row r="24" spans="1:10" ht="10.5" customHeight="1" x14ac:dyDescent="0.25">
      <c r="A24" s="154" t="s">
        <v>72</v>
      </c>
      <c r="B24" s="155"/>
      <c r="C24" s="155"/>
      <c r="D24" s="155"/>
      <c r="E24" s="155"/>
      <c r="F24" s="155"/>
      <c r="G24" s="155"/>
      <c r="H24" s="155"/>
      <c r="I24" s="155"/>
      <c r="J24" s="156"/>
    </row>
    <row r="25" spans="1:10" ht="10.5" customHeight="1" thickBot="1" x14ac:dyDescent="0.3">
      <c r="A25" s="151" t="s">
        <v>73</v>
      </c>
      <c r="B25" s="152"/>
      <c r="C25" s="152"/>
      <c r="D25" s="152"/>
      <c r="E25" s="152"/>
      <c r="F25" s="152"/>
      <c r="G25" s="152"/>
      <c r="H25" s="152"/>
      <c r="I25" s="152"/>
      <c r="J25" s="153"/>
    </row>
    <row r="26" spans="1:10" ht="15.75" thickBot="1" x14ac:dyDescent="0.3">
      <c r="A26" s="125" t="s">
        <v>74</v>
      </c>
      <c r="B26" s="125"/>
      <c r="C26" s="125"/>
      <c r="D26" s="125"/>
      <c r="E26" s="125"/>
      <c r="F26" s="125"/>
      <c r="G26" s="125"/>
      <c r="H26" s="125"/>
      <c r="I26" s="125"/>
      <c r="J26" s="125"/>
    </row>
    <row r="27" spans="1:10" ht="11.25" customHeight="1" x14ac:dyDescent="0.25">
      <c r="A27" s="126" t="s">
        <v>75</v>
      </c>
      <c r="B27" s="127"/>
      <c r="C27" s="127"/>
      <c r="D27" s="127"/>
      <c r="E27" s="127"/>
      <c r="F27" s="127"/>
      <c r="G27" s="127"/>
      <c r="H27" s="127"/>
      <c r="I27" s="127"/>
      <c r="J27" s="128"/>
    </row>
    <row r="28" spans="1:10" ht="11.25" customHeight="1" x14ac:dyDescent="0.25">
      <c r="A28" s="129" t="s">
        <v>76</v>
      </c>
      <c r="B28" s="130"/>
      <c r="C28" s="130"/>
      <c r="D28" s="130"/>
      <c r="E28" s="130"/>
      <c r="F28" s="130"/>
      <c r="G28" s="130"/>
      <c r="H28" s="130"/>
      <c r="I28" s="130"/>
      <c r="J28" s="131"/>
    </row>
    <row r="29" spans="1:10" ht="11.25" customHeight="1" x14ac:dyDescent="0.25">
      <c r="A29" s="129" t="s">
        <v>77</v>
      </c>
      <c r="B29" s="130"/>
      <c r="C29" s="130"/>
      <c r="D29" s="130"/>
      <c r="E29" s="130"/>
      <c r="F29" s="130"/>
      <c r="G29" s="130"/>
      <c r="H29" s="130"/>
      <c r="I29" s="130"/>
      <c r="J29" s="131"/>
    </row>
    <row r="30" spans="1:10" ht="11.25" customHeight="1" x14ac:dyDescent="0.25">
      <c r="A30" s="129" t="s">
        <v>78</v>
      </c>
      <c r="B30" s="130"/>
      <c r="C30" s="130"/>
      <c r="D30" s="130"/>
      <c r="E30" s="130"/>
      <c r="F30" s="130"/>
      <c r="G30" s="130"/>
      <c r="H30" s="130"/>
      <c r="I30" s="130"/>
      <c r="J30" s="131"/>
    </row>
    <row r="31" spans="1:10" ht="11.25" customHeight="1" x14ac:dyDescent="0.25">
      <c r="A31" s="129" t="s">
        <v>79</v>
      </c>
      <c r="B31" s="130"/>
      <c r="C31" s="130"/>
      <c r="D31" s="130"/>
      <c r="E31" s="130"/>
      <c r="F31" s="130"/>
      <c r="G31" s="130"/>
      <c r="H31" s="130"/>
      <c r="I31" s="130"/>
      <c r="J31" s="131"/>
    </row>
    <row r="32" spans="1:10" ht="11.25" customHeight="1" x14ac:dyDescent="0.25">
      <c r="A32" s="129" t="s">
        <v>80</v>
      </c>
      <c r="B32" s="130"/>
      <c r="C32" s="130"/>
      <c r="D32" s="130"/>
      <c r="E32" s="130"/>
      <c r="F32" s="130"/>
      <c r="G32" s="130"/>
      <c r="H32" s="130"/>
      <c r="I32" s="130"/>
      <c r="J32" s="131"/>
    </row>
    <row r="33" spans="1:10" ht="11.25" customHeight="1" x14ac:dyDescent="0.25">
      <c r="A33" s="129" t="s">
        <v>81</v>
      </c>
      <c r="B33" s="130"/>
      <c r="C33" s="130"/>
      <c r="D33" s="130"/>
      <c r="E33" s="130"/>
      <c r="F33" s="130"/>
      <c r="G33" s="130"/>
      <c r="H33" s="130"/>
      <c r="I33" s="130"/>
      <c r="J33" s="131"/>
    </row>
    <row r="34" spans="1:10" ht="11.25" customHeight="1" x14ac:dyDescent="0.25">
      <c r="A34" s="129" t="s">
        <v>82</v>
      </c>
      <c r="B34" s="130"/>
      <c r="C34" s="130"/>
      <c r="D34" s="130"/>
      <c r="E34" s="130"/>
      <c r="F34" s="130"/>
      <c r="G34" s="130"/>
      <c r="H34" s="130"/>
      <c r="I34" s="130"/>
      <c r="J34" s="131"/>
    </row>
    <row r="35" spans="1:10" ht="11.25" customHeight="1" thickBot="1" x14ac:dyDescent="0.3">
      <c r="A35" s="151" t="s">
        <v>83</v>
      </c>
      <c r="B35" s="152"/>
      <c r="C35" s="152"/>
      <c r="D35" s="152"/>
      <c r="E35" s="152"/>
      <c r="F35" s="152"/>
      <c r="G35" s="152"/>
      <c r="H35" s="152"/>
      <c r="I35" s="152"/>
      <c r="J35" s="153"/>
    </row>
    <row r="36" spans="1:10" ht="15.75" thickBot="1" x14ac:dyDescent="0.3">
      <c r="A36" s="121" t="s">
        <v>84</v>
      </c>
      <c r="B36" s="121"/>
      <c r="C36" s="121"/>
      <c r="D36" s="121"/>
      <c r="E36" s="121"/>
      <c r="F36" s="121"/>
      <c r="G36" s="121"/>
      <c r="H36" s="121"/>
      <c r="I36" s="121"/>
      <c r="J36" s="121"/>
    </row>
    <row r="37" spans="1:10" x14ac:dyDescent="0.25">
      <c r="A37" s="122" t="s">
        <v>85</v>
      </c>
      <c r="B37" s="123"/>
      <c r="C37" s="123"/>
      <c r="D37" s="123"/>
      <c r="E37" s="123"/>
      <c r="F37" s="123"/>
      <c r="G37" s="123"/>
      <c r="H37" s="123"/>
      <c r="I37" s="123"/>
      <c r="J37" s="124"/>
    </row>
    <row r="38" spans="1:10" x14ac:dyDescent="0.25">
      <c r="A38" s="117" t="s">
        <v>86</v>
      </c>
      <c r="B38" s="115"/>
      <c r="C38" s="115"/>
      <c r="D38" s="115"/>
      <c r="E38" s="115"/>
      <c r="F38" s="115"/>
      <c r="G38" s="115"/>
      <c r="H38" s="115"/>
      <c r="I38" s="115"/>
      <c r="J38" s="116"/>
    </row>
    <row r="39" spans="1:10" ht="15.75" thickBot="1" x14ac:dyDescent="0.3">
      <c r="A39" s="118" t="s">
        <v>87</v>
      </c>
      <c r="B39" s="119"/>
      <c r="C39" s="119"/>
      <c r="D39" s="119"/>
      <c r="E39" s="119"/>
      <c r="F39" s="119"/>
      <c r="G39" s="119"/>
      <c r="H39" s="119"/>
      <c r="I39" s="119"/>
      <c r="J39" s="120"/>
    </row>
    <row r="40" spans="1:10" ht="15.75" thickBot="1" x14ac:dyDescent="0.3">
      <c r="A40" s="121" t="s">
        <v>88</v>
      </c>
      <c r="B40" s="121"/>
      <c r="C40" s="121"/>
      <c r="D40" s="121"/>
      <c r="E40" s="121"/>
      <c r="F40" s="121"/>
      <c r="G40" s="121"/>
      <c r="H40" s="121"/>
      <c r="I40" s="121"/>
      <c r="J40" s="121"/>
    </row>
    <row r="41" spans="1:10" ht="47.25" customHeight="1" thickBot="1" x14ac:dyDescent="0.3">
      <c r="A41" s="132" t="s">
        <v>89</v>
      </c>
      <c r="B41" s="133"/>
      <c r="C41" s="133"/>
      <c r="D41" s="133"/>
      <c r="E41" s="133"/>
      <c r="F41" s="133"/>
      <c r="G41" s="133"/>
      <c r="H41" s="133"/>
      <c r="I41" s="133"/>
      <c r="J41" s="134"/>
    </row>
    <row r="42" spans="1:10" ht="15.75" thickBot="1" x14ac:dyDescent="0.3">
      <c r="A42" s="135" t="s">
        <v>94</v>
      </c>
      <c r="B42" s="135"/>
      <c r="C42" s="135"/>
      <c r="D42" s="135"/>
      <c r="E42" s="135"/>
      <c r="F42" s="135"/>
      <c r="G42" s="135"/>
      <c r="H42" s="135"/>
      <c r="I42" s="135"/>
      <c r="J42" s="135"/>
    </row>
    <row r="43" spans="1:10" x14ac:dyDescent="0.25">
      <c r="A43" s="122" t="s">
        <v>95</v>
      </c>
      <c r="B43" s="123"/>
      <c r="C43" s="123"/>
      <c r="D43" s="123"/>
      <c r="E43" s="123"/>
      <c r="F43" s="123" t="s">
        <v>96</v>
      </c>
      <c r="G43" s="123"/>
      <c r="H43" s="123"/>
      <c r="I43" s="123"/>
      <c r="J43" s="124"/>
    </row>
    <row r="44" spans="1:10" x14ac:dyDescent="0.25">
      <c r="A44" s="117" t="s">
        <v>95</v>
      </c>
      <c r="B44" s="115"/>
      <c r="C44" s="115"/>
      <c r="D44" s="115"/>
      <c r="E44" s="115"/>
      <c r="F44" s="115" t="s">
        <v>96</v>
      </c>
      <c r="G44" s="115"/>
      <c r="H44" s="115"/>
      <c r="I44" s="115"/>
      <c r="J44" s="116"/>
    </row>
    <row r="45" spans="1:10" x14ac:dyDescent="0.25">
      <c r="A45" s="117" t="s">
        <v>95</v>
      </c>
      <c r="B45" s="115"/>
      <c r="C45" s="115"/>
      <c r="D45" s="115"/>
      <c r="E45" s="115"/>
      <c r="F45" s="115" t="s">
        <v>96</v>
      </c>
      <c r="G45" s="115"/>
      <c r="H45" s="115"/>
      <c r="I45" s="115"/>
      <c r="J45" s="116"/>
    </row>
    <row r="46" spans="1:10" ht="15.75" thickBot="1" x14ac:dyDescent="0.3">
      <c r="A46" s="118" t="s">
        <v>95</v>
      </c>
      <c r="B46" s="119"/>
      <c r="C46" s="119"/>
      <c r="D46" s="119"/>
      <c r="E46" s="119"/>
      <c r="F46" s="119" t="s">
        <v>96</v>
      </c>
      <c r="G46" s="119"/>
      <c r="H46" s="119"/>
      <c r="I46" s="119"/>
      <c r="J46" s="120"/>
    </row>
    <row r="47" spans="1:10" ht="12" customHeight="1" thickBot="1" x14ac:dyDescent="0.3">
      <c r="A47" s="121" t="s">
        <v>97</v>
      </c>
      <c r="B47" s="121"/>
      <c r="C47" s="121"/>
      <c r="D47" s="121"/>
      <c r="E47" s="121"/>
      <c r="F47" s="121"/>
      <c r="G47" s="121"/>
      <c r="H47" s="121"/>
      <c r="I47" s="121"/>
      <c r="J47" s="121"/>
    </row>
    <row r="48" spans="1:10" ht="15" customHeight="1" thickBot="1" x14ac:dyDescent="0.3">
      <c r="A48" s="14" t="s">
        <v>98</v>
      </c>
      <c r="B48" s="113" t="s">
        <v>101</v>
      </c>
      <c r="C48" s="114"/>
      <c r="D48" s="14" t="s">
        <v>99</v>
      </c>
      <c r="E48" s="113"/>
      <c r="F48" s="114"/>
      <c r="G48" s="13" t="s">
        <v>100</v>
      </c>
      <c r="H48" s="113"/>
      <c r="I48" s="113"/>
      <c r="J48" s="114"/>
    </row>
    <row r="49" spans="1:1" x14ac:dyDescent="0.25">
      <c r="A49" s="12"/>
    </row>
  </sheetData>
  <mergeCells count="60">
    <mergeCell ref="A1:C3"/>
    <mergeCell ref="A34:J34"/>
    <mergeCell ref="A35:J35"/>
    <mergeCell ref="A36:J36"/>
    <mergeCell ref="A37:J37"/>
    <mergeCell ref="A32:J32"/>
    <mergeCell ref="A33:J33"/>
    <mergeCell ref="A22:J22"/>
    <mergeCell ref="A23:J23"/>
    <mergeCell ref="A24:J24"/>
    <mergeCell ref="A25:J25"/>
    <mergeCell ref="A20:J20"/>
    <mergeCell ref="A21:J21"/>
    <mergeCell ref="A10:J10"/>
    <mergeCell ref="A11:J11"/>
    <mergeCell ref="A12:J12"/>
    <mergeCell ref="D1:F1"/>
    <mergeCell ref="D2:F2"/>
    <mergeCell ref="D3:F3"/>
    <mergeCell ref="G1:J1"/>
    <mergeCell ref="G2:J2"/>
    <mergeCell ref="G3:J3"/>
    <mergeCell ref="A19:J19"/>
    <mergeCell ref="D4:J4"/>
    <mergeCell ref="A5:D5"/>
    <mergeCell ref="E5:J5"/>
    <mergeCell ref="A6:J6"/>
    <mergeCell ref="A7:J7"/>
    <mergeCell ref="A8:J8"/>
    <mergeCell ref="A13:J13"/>
    <mergeCell ref="A4:C4"/>
    <mergeCell ref="A9:J9"/>
    <mergeCell ref="A14:J14"/>
    <mergeCell ref="A16:J16"/>
    <mergeCell ref="A15:J15"/>
    <mergeCell ref="A17:J17"/>
    <mergeCell ref="A18:J18"/>
    <mergeCell ref="A43:E43"/>
    <mergeCell ref="F43:J43"/>
    <mergeCell ref="A44:E44"/>
    <mergeCell ref="A26:J26"/>
    <mergeCell ref="A27:J27"/>
    <mergeCell ref="A28:J28"/>
    <mergeCell ref="A29:J29"/>
    <mergeCell ref="A30:J30"/>
    <mergeCell ref="A31:J31"/>
    <mergeCell ref="A38:J38"/>
    <mergeCell ref="A39:J39"/>
    <mergeCell ref="A40:J40"/>
    <mergeCell ref="A41:J41"/>
    <mergeCell ref="A42:J42"/>
    <mergeCell ref="B48:C48"/>
    <mergeCell ref="E48:F48"/>
    <mergeCell ref="H48:J48"/>
    <mergeCell ref="F44:J44"/>
    <mergeCell ref="A45:E45"/>
    <mergeCell ref="F45:J45"/>
    <mergeCell ref="A46:E46"/>
    <mergeCell ref="F46:J46"/>
    <mergeCell ref="A47:J47"/>
  </mergeCells>
  <pageMargins left="0.23622047244094491" right="0.23622047244094491" top="1.1417322834645669" bottom="1.1417322834645669" header="0.31496062992125984" footer="0.31496062992125984"/>
  <pageSetup paperSize="9" orientation="portrait" horizontalDpi="360" verticalDpi="360" r:id="rId1"/>
  <headerFooter scaleWithDoc="0" alignWithMargins="0">
    <oddHeader>&amp;C&amp;G</oddHeader>
    <oddFooter>&amp;C&amp;8MARLON ROGER COLOVINI – ME
CNPJ: 28.623.299/0001-50
contato@energens.com.br | www.energens.com.br
Rua Sete de Setembro n° 130 – Santo Ângelo/RS
(55) 3314 0038 | (55) 9.9942 7709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 Clientes</vt:lpstr>
      <vt:lpstr>Lista OS</vt:lpstr>
      <vt:lpstr>MODELO PT</vt:lpstr>
      <vt:lpstr>MODELO O.S.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ENERGENS_04</dc:creator>
  <cp:lastModifiedBy>ENERGENS_04</cp:lastModifiedBy>
  <cp:lastPrinted>2020-08-13T11:56:48Z</cp:lastPrinted>
  <dcterms:created xsi:type="dcterms:W3CDTF">2015-06-05T18:19:34Z</dcterms:created>
  <dcterms:modified xsi:type="dcterms:W3CDTF">2020-08-14T14:11:21Z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e171e2b5-f3d5-44f4-976f-3564ddd656d8</vt:lpwstr>
  </property>
</Properties>
</file>